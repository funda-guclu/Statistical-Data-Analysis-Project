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/>
  <xr:revisionPtr revIDLastSave="1653" documentId="8_{26CC66FA-0F97-45E0-AB38-E9DFFF355982}" xr6:coauthVersionLast="47" xr6:coauthVersionMax="47" xr10:uidLastSave="{72265E64-8E34-4268-A17D-B04DC6E4A543}"/>
  <bookViews>
    <workbookView xWindow="-108" yWindow="-108" windowWidth="23256" windowHeight="12456" xr2:uid="{00000000-000D-0000-FFFF-FFFF00000000}"/>
  </bookViews>
  <sheets>
    <sheet name="Sayfa1" sheetId="1" r:id="rId1"/>
  </sheets>
  <definedNames>
    <definedName name="_xlchart.v1.0" hidden="1">Sayfa1!$B$3:$B$202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7" i="1" l="1"/>
  <c r="E146" i="1" s="1"/>
  <c r="H118" i="1"/>
  <c r="E139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3" i="1"/>
  <c r="E68" i="1" l="1"/>
  <c r="F68" i="1"/>
  <c r="F111" i="1"/>
  <c r="I139" i="1"/>
  <c r="I145" i="1"/>
  <c r="I135" i="1"/>
  <c r="G111" i="1"/>
  <c r="I149" i="1"/>
  <c r="I147" i="1"/>
  <c r="I137" i="1"/>
  <c r="E111" i="1"/>
  <c r="I129" i="1"/>
  <c r="I125" i="1"/>
  <c r="H122" i="1"/>
  <c r="H130" i="1"/>
  <c r="H111" i="1"/>
  <c r="I111" i="1" s="1"/>
  <c r="I72" i="1"/>
  <c r="H68" i="1"/>
  <c r="G68" i="1"/>
  <c r="E88" i="1"/>
  <c r="H46" i="1"/>
  <c r="I46" i="1"/>
  <c r="F46" i="1"/>
  <c r="E46" i="1"/>
  <c r="G46" i="1"/>
  <c r="E28" i="1"/>
  <c r="C3" i="1"/>
  <c r="J68" i="1" l="1"/>
  <c r="I68" i="1"/>
  <c r="I141" i="1"/>
  <c r="J135" i="1" s="1"/>
  <c r="I151" i="1"/>
  <c r="J145" i="1" s="1"/>
  <c r="J128" i="1"/>
  <c r="J126" i="1"/>
  <c r="I116" i="1"/>
  <c r="I118" i="1"/>
  <c r="E29" i="1"/>
  <c r="E89" i="1"/>
  <c r="C4" i="1"/>
  <c r="D3" i="1"/>
  <c r="E3" i="1" s="1"/>
  <c r="F11" i="1" l="1"/>
  <c r="E11" i="1"/>
  <c r="D4" i="1"/>
  <c r="E102" i="1" s="1"/>
  <c r="E90" i="1"/>
  <c r="E101" i="1"/>
  <c r="F101" i="1"/>
  <c r="G3" i="1"/>
  <c r="F29" i="1" s="1"/>
  <c r="F18" i="1"/>
  <c r="C5" i="1"/>
  <c r="E30" i="1"/>
  <c r="F3" i="1"/>
  <c r="E18" i="1"/>
  <c r="E17" i="1" s="1"/>
  <c r="G4" i="1" l="1"/>
  <c r="L4" i="1" s="1"/>
  <c r="F19" i="1"/>
  <c r="E4" i="1"/>
  <c r="E19" i="1"/>
  <c r="F12" i="1"/>
  <c r="E12" i="1"/>
  <c r="F102" i="1"/>
  <c r="F4" i="1"/>
  <c r="F89" i="1"/>
  <c r="E31" i="1"/>
  <c r="E91" i="1"/>
  <c r="L3" i="1"/>
  <c r="D5" i="1"/>
  <c r="G5" i="1" s="1"/>
  <c r="L5" i="1" s="1"/>
  <c r="H3" i="1"/>
  <c r="C6" i="1"/>
  <c r="E103" i="1" l="1"/>
  <c r="D6" i="1"/>
  <c r="E6" i="1" s="1"/>
  <c r="F104" i="1"/>
  <c r="E92" i="1"/>
  <c r="F103" i="1"/>
  <c r="H4" i="1"/>
  <c r="F91" i="1" s="1"/>
  <c r="F90" i="1"/>
  <c r="E20" i="1"/>
  <c r="E5" i="1"/>
  <c r="F20" i="1"/>
  <c r="F5" i="1"/>
  <c r="E13" i="1"/>
  <c r="J3" i="1"/>
  <c r="F30" i="1"/>
  <c r="C7" i="1"/>
  <c r="F13" i="1"/>
  <c r="E32" i="1"/>
  <c r="F14" i="1"/>
  <c r="E14" i="1"/>
  <c r="G6" i="1" l="1"/>
  <c r="F21" i="1"/>
  <c r="F6" i="1"/>
  <c r="E21" i="1"/>
  <c r="E22" i="1" s="1"/>
  <c r="E104" i="1"/>
  <c r="H5" i="1"/>
  <c r="J4" i="1"/>
  <c r="F31" i="1"/>
  <c r="E95" i="1" l="1"/>
  <c r="E97" i="1" a="1"/>
  <c r="E97" i="1" s="1"/>
  <c r="G60" i="1" a="1"/>
  <c r="G60" i="1" s="1"/>
  <c r="G56" i="1"/>
  <c r="H51" i="1" a="1"/>
  <c r="H51" i="1" s="1"/>
  <c r="J94" i="1" a="1"/>
  <c r="J94" i="1" s="1"/>
  <c r="F56" i="1"/>
  <c r="G62" i="1"/>
  <c r="G54" i="1"/>
  <c r="G58" i="1" a="1"/>
  <c r="G58" i="1" s="1"/>
  <c r="J96" i="1" a="1"/>
  <c r="J96" i="1" s="1"/>
  <c r="F97" i="1" a="1"/>
  <c r="F97" i="1" s="1"/>
  <c r="J88" i="1" s="1"/>
  <c r="F92" i="1"/>
  <c r="L6" i="1"/>
  <c r="F95" i="1" a="1"/>
  <c r="F95" i="1" s="1"/>
  <c r="J90" i="1" s="1"/>
  <c r="F54" i="1"/>
  <c r="E51" i="1"/>
  <c r="J5" i="1"/>
  <c r="F32" i="1"/>
  <c r="H6" i="1"/>
  <c r="I3" i="1" s="1"/>
  <c r="K3" i="1" s="1"/>
  <c r="F64" i="1" a="1"/>
  <c r="F64" i="1" s="1"/>
  <c r="F58" i="1" a="1"/>
  <c r="F58" i="1" s="1"/>
  <c r="J98" i="1" l="1"/>
  <c r="J100" i="1" s="1"/>
  <c r="G51" i="1"/>
  <c r="J92" i="1"/>
  <c r="F60" i="1" a="1"/>
  <c r="F60" i="1" s="1"/>
  <c r="F62" i="1" a="1"/>
  <c r="F62" i="1" s="1"/>
  <c r="G28" i="1"/>
  <c r="J6" i="1"/>
  <c r="I4" i="1"/>
  <c r="G30" i="1" s="1"/>
  <c r="G29" i="1"/>
  <c r="J102" i="1" l="1"/>
  <c r="F51" i="1"/>
  <c r="I5" i="1"/>
  <c r="I6" i="1" s="1"/>
  <c r="G32" i="1" s="1"/>
  <c r="K4" i="1"/>
  <c r="K5" i="1" l="1"/>
  <c r="G31" i="1"/>
  <c r="K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<sst xmlns="http://schemas.openxmlformats.org/spreadsheetml/2006/main" count="123" uniqueCount="100">
  <si>
    <t>data1</t>
  </si>
  <si>
    <t>new data</t>
  </si>
  <si>
    <t>class interval</t>
  </si>
  <si>
    <t>Q1</t>
  </si>
  <si>
    <t>min values</t>
  </si>
  <si>
    <t>max values</t>
  </si>
  <si>
    <t>midpoints</t>
  </si>
  <si>
    <t>increasing cumulative frequencies</t>
  </si>
  <si>
    <t>decreasing cumulative frequencies</t>
  </si>
  <si>
    <t>dec. cumulative relative freq.</t>
  </si>
  <si>
    <t>inc. cumulative relative freq.</t>
  </si>
  <si>
    <t>relative freq.</t>
  </si>
  <si>
    <t>Q2</t>
  </si>
  <si>
    <t>frequencies</t>
  </si>
  <si>
    <t>Q3</t>
  </si>
  <si>
    <t>inc. Cu. Freq</t>
  </si>
  <si>
    <t>dec. Cu. Freq</t>
  </si>
  <si>
    <t>time(values)</t>
  </si>
  <si>
    <t>Series1=&gt;inc</t>
  </si>
  <si>
    <t>Series2=&gt;dec</t>
  </si>
  <si>
    <t>Q4</t>
  </si>
  <si>
    <t>Mean (arith.):</t>
  </si>
  <si>
    <t xml:space="preserve">        Median:</t>
  </si>
  <si>
    <t xml:space="preserve">            Mode:</t>
  </si>
  <si>
    <t xml:space="preserve">           Symmetry of the disribution:</t>
  </si>
  <si>
    <t>Q5</t>
  </si>
  <si>
    <t>Total Freq.</t>
  </si>
  <si>
    <t>N/2 :</t>
  </si>
  <si>
    <t>(∑f)2:</t>
  </si>
  <si>
    <t>(f)median:</t>
  </si>
  <si>
    <t>L median:</t>
  </si>
  <si>
    <t>L mode:</t>
  </si>
  <si>
    <t>(f)mode:</t>
  </si>
  <si>
    <t>(f)mode prev:</t>
  </si>
  <si>
    <t>(f)mode next:</t>
  </si>
  <si>
    <t>c median:</t>
  </si>
  <si>
    <t>c mode:</t>
  </si>
  <si>
    <t xml:space="preserve">                           Standart Deviation:</t>
  </si>
  <si>
    <t>Q6</t>
  </si>
  <si>
    <t>Quartile1:</t>
  </si>
  <si>
    <t xml:space="preserve">     Quartile2:</t>
  </si>
  <si>
    <t xml:space="preserve">      Quartile3:</t>
  </si>
  <si>
    <t xml:space="preserve">                          Interquartile Range:</t>
  </si>
  <si>
    <t xml:space="preserve">        Symmetry of distribution:</t>
  </si>
  <si>
    <t>Q7</t>
  </si>
  <si>
    <t>Mean:</t>
  </si>
  <si>
    <t>Std. Deviation:</t>
  </si>
  <si>
    <t>μ+(σ/2)​</t>
  </si>
  <si>
    <t>μ-(σ/2)​</t>
  </si>
  <si>
    <t># freq. İn μ-(σ/2)​:</t>
  </si>
  <si>
    <t># freq. İn μ+(σ/2)​:</t>
  </si>
  <si>
    <t>Zlower:</t>
  </si>
  <si>
    <t>Zupper:</t>
  </si>
  <si>
    <t>P(Zlower&lt;Z&lt;Zupper):</t>
  </si>
  <si>
    <t># data in normal distribution:</t>
  </si>
  <si>
    <t>diff. Norm. Dist&amp; Freq. Poly.:</t>
  </si>
  <si>
    <t>Q8</t>
  </si>
  <si>
    <t>a)</t>
  </si>
  <si>
    <t>Standart Dev.:</t>
  </si>
  <si>
    <t xml:space="preserve">       Variance:</t>
  </si>
  <si>
    <t>b)</t>
  </si>
  <si>
    <t xml:space="preserve">                                       Sample size:</t>
  </si>
  <si>
    <t xml:space="preserve">                      𝛼/2 = 0,04</t>
  </si>
  <si>
    <t xml:space="preserve">                       𝛼 = 0,08</t>
  </si>
  <si>
    <t xml:space="preserve">    mean=788,008</t>
  </si>
  <si>
    <t>n=200</t>
  </si>
  <si>
    <t>lower bound of CI:</t>
  </si>
  <si>
    <t xml:space="preserve">      square root of n:</t>
  </si>
  <si>
    <t>upper bound of CI:</t>
  </si>
  <si>
    <t>Confidence interval is:</t>
  </si>
  <si>
    <t>[787,787745 - 788,228255]</t>
  </si>
  <si>
    <t>c)</t>
  </si>
  <si>
    <t>variance:</t>
  </si>
  <si>
    <t>n-1=199</t>
  </si>
  <si>
    <t>Sample size-1:</t>
  </si>
  <si>
    <t>2,677708906 - 3,806724012</t>
  </si>
  <si>
    <t>d)</t>
  </si>
  <si>
    <t>School number:</t>
  </si>
  <si>
    <t>X:</t>
  </si>
  <si>
    <t xml:space="preserve">     𝛼 = 0,08</t>
  </si>
  <si>
    <t>Standart Deviation:</t>
  </si>
  <si>
    <t>Z0:</t>
  </si>
  <si>
    <t>sample mean:</t>
  </si>
  <si>
    <t>P value=2*P(z&gt;z0):</t>
  </si>
  <si>
    <t>H0:μ=11,6+X</t>
  </si>
  <si>
    <t>P value = 0,001183&lt; 𝛼 = 0,08</t>
  </si>
  <si>
    <t>e)</t>
  </si>
  <si>
    <t>H𝛼:μ≠ 11,6+X</t>
  </si>
  <si>
    <t>H0:μ&gt;=12,2+X</t>
  </si>
  <si>
    <t>H𝛼:μ&lt; 12,2+X</t>
  </si>
  <si>
    <t>Pvalue=P(z&lt;z0):</t>
  </si>
  <si>
    <t># data in inc. cu. freq. poly:</t>
  </si>
  <si>
    <t xml:space="preserve">                         Z𝛼/2:</t>
  </si>
  <si>
    <t>We reject H0. (Pvalue&lt;𝛼)</t>
  </si>
  <si>
    <t>|Median-Q3|:</t>
  </si>
  <si>
    <t>|Median-Q1|:</t>
  </si>
  <si>
    <t>|Median-Q3|&gt;|Median-Q1|</t>
  </si>
  <si>
    <r>
      <t xml:space="preserve">                      6,696176259≈</t>
    </r>
    <r>
      <rPr>
        <b/>
        <sz val="12"/>
        <color theme="1"/>
        <rFont val="Calibri"/>
        <family val="2"/>
        <charset val="162"/>
        <scheme val="minor"/>
      </rPr>
      <t xml:space="preserve"> 7</t>
    </r>
  </si>
  <si>
    <t>square root of n:</t>
  </si>
  <si>
    <t xml:space="preserve">                         Standart Deviation: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</si>
</sst>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Alignment="1">
      <alignment horizontal="right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charset val="162"/>
      </font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righ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Histogram</a:t>
            </a:r>
            <a:r>
              <a:rPr lang="tr-TR" baseline="0"/>
              <a:t> Graph</a:t>
            </a:r>
            <a:endParaRPr lang="en-US"/>
          </a:p>
        </c:rich>
      </c:tx>
      <c:layout>
        <c:manualLayout>
          <c:xMode val="edge"/>
          <c:yMode val="edge"/>
          <c:x val="0.34503030303030302"/>
          <c:y val="2.7322404371584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Sayfa1!$F$10</c:f>
              <c:strCache>
                <c:ptCount val="1"/>
                <c:pt idx="0">
                  <c:v>frequencies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Sayfa1!$E$11:$E$14</c:f>
              <c:strCache>
                <c:ptCount val="4"/>
                <c:pt idx="0">
                  <c:v>784,6-786,6</c:v>
                </c:pt>
                <c:pt idx="1">
                  <c:v>786,6-788,6</c:v>
                </c:pt>
                <c:pt idx="2">
                  <c:v>788,6-790,6</c:v>
                </c:pt>
                <c:pt idx="3">
                  <c:v>790,6-792,6</c:v>
                </c:pt>
              </c:strCache>
            </c:strRef>
          </c:cat>
          <c:val>
            <c:numRef>
              <c:f>Sayfa1!$F$11:$F$14</c:f>
              <c:numCache>
                <c:formatCode>General</c:formatCode>
                <c:ptCount val="4"/>
                <c:pt idx="0">
                  <c:v>54</c:v>
                </c:pt>
                <c:pt idx="1">
                  <c:v>79</c:v>
                </c:pt>
                <c:pt idx="2">
                  <c:v>46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E-4194-9172-1EEEECC56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954253232"/>
        <c:axId val="1130750608"/>
      </c:barChart>
      <c:catAx>
        <c:axId val="954253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Class</a:t>
                </a:r>
                <a:r>
                  <a:rPr lang="tr-TR" baseline="0"/>
                  <a:t> Interval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30750608"/>
        <c:crosses val="autoZero"/>
        <c:auto val="1"/>
        <c:lblAlgn val="ctr"/>
        <c:lblOffset val="100"/>
        <c:noMultiLvlLbl val="0"/>
      </c:catAx>
      <c:valAx>
        <c:axId val="113075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95425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Frequency</a:t>
            </a:r>
            <a:r>
              <a:rPr lang="tr-TR" baseline="0"/>
              <a:t> Polygon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Sayfa1!$E$17:$E$22</c:f>
              <c:numCache>
                <c:formatCode>General</c:formatCode>
                <c:ptCount val="6"/>
                <c:pt idx="0">
                  <c:v>783.6</c:v>
                </c:pt>
                <c:pt idx="1">
                  <c:v>785.6</c:v>
                </c:pt>
                <c:pt idx="2">
                  <c:v>787.6</c:v>
                </c:pt>
                <c:pt idx="3">
                  <c:v>789.6</c:v>
                </c:pt>
                <c:pt idx="4">
                  <c:v>791.6</c:v>
                </c:pt>
                <c:pt idx="5">
                  <c:v>793.6</c:v>
                </c:pt>
              </c:numCache>
            </c:numRef>
          </c:cat>
          <c:val>
            <c:numRef>
              <c:f>Sayfa1!$F$17:$F$22</c:f>
              <c:numCache>
                <c:formatCode>General</c:formatCode>
                <c:ptCount val="6"/>
                <c:pt idx="0">
                  <c:v>0</c:v>
                </c:pt>
                <c:pt idx="1">
                  <c:v>54</c:v>
                </c:pt>
                <c:pt idx="2">
                  <c:v>79</c:v>
                </c:pt>
                <c:pt idx="3">
                  <c:v>46</c:v>
                </c:pt>
                <c:pt idx="4">
                  <c:v>21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12-407C-805A-503008ADE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833856"/>
        <c:axId val="1139834816"/>
      </c:lineChart>
      <c:catAx>
        <c:axId val="11398338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Midpoints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39834816"/>
        <c:crosses val="autoZero"/>
        <c:auto val="1"/>
        <c:lblAlgn val="ctr"/>
        <c:lblOffset val="100"/>
        <c:noMultiLvlLbl val="0"/>
      </c:catAx>
      <c:valAx>
        <c:axId val="113983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3983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Inc. &amp; Dec. Cumulative Frequency Polygon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Sayfa1!$E$28:$E$32</c:f>
              <c:numCache>
                <c:formatCode>General</c:formatCode>
                <c:ptCount val="5"/>
                <c:pt idx="0">
                  <c:v>784.6</c:v>
                </c:pt>
                <c:pt idx="1">
                  <c:v>786.6</c:v>
                </c:pt>
                <c:pt idx="2">
                  <c:v>788.6</c:v>
                </c:pt>
                <c:pt idx="3">
                  <c:v>790.6</c:v>
                </c:pt>
                <c:pt idx="4">
                  <c:v>792.6</c:v>
                </c:pt>
              </c:numCache>
            </c:numRef>
          </c:cat>
          <c:val>
            <c:numRef>
              <c:f>Sayfa1!$F$28:$F$32</c:f>
              <c:numCache>
                <c:formatCode>General</c:formatCode>
                <c:ptCount val="5"/>
                <c:pt idx="0">
                  <c:v>0</c:v>
                </c:pt>
                <c:pt idx="1">
                  <c:v>54</c:v>
                </c:pt>
                <c:pt idx="2">
                  <c:v>133</c:v>
                </c:pt>
                <c:pt idx="3">
                  <c:v>179</c:v>
                </c:pt>
                <c:pt idx="4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AF-4B7D-9B08-2CFEC32F1CC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Sayfa1!$E$28:$E$32</c:f>
              <c:numCache>
                <c:formatCode>General</c:formatCode>
                <c:ptCount val="5"/>
                <c:pt idx="0">
                  <c:v>784.6</c:v>
                </c:pt>
                <c:pt idx="1">
                  <c:v>786.6</c:v>
                </c:pt>
                <c:pt idx="2">
                  <c:v>788.6</c:v>
                </c:pt>
                <c:pt idx="3">
                  <c:v>790.6</c:v>
                </c:pt>
                <c:pt idx="4">
                  <c:v>792.6</c:v>
                </c:pt>
              </c:numCache>
            </c:numRef>
          </c:cat>
          <c:val>
            <c:numRef>
              <c:f>Sayfa1!$G$28:$G$32</c:f>
              <c:numCache>
                <c:formatCode>General</c:formatCode>
                <c:ptCount val="5"/>
                <c:pt idx="0">
                  <c:v>200</c:v>
                </c:pt>
                <c:pt idx="1">
                  <c:v>146</c:v>
                </c:pt>
                <c:pt idx="2">
                  <c:v>67</c:v>
                </c:pt>
                <c:pt idx="3">
                  <c:v>21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AF-4B7D-9B08-2CFEC32F1C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40000560"/>
        <c:axId val="1140004880"/>
      </c:lineChart>
      <c:catAx>
        <c:axId val="11400005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b="1">
                    <a:solidFill>
                      <a:sysClr val="windowText" lastClr="000000"/>
                    </a:solidFill>
                  </a:rPr>
                  <a:t>Time(values</a:t>
                </a:r>
                <a:r>
                  <a:rPr lang="tr-TR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40004880"/>
        <c:crosses val="autoZero"/>
        <c:auto val="1"/>
        <c:lblAlgn val="ctr"/>
        <c:lblOffset val="100"/>
        <c:noMultiLvlLbl val="0"/>
      </c:catAx>
      <c:valAx>
        <c:axId val="114000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 b="1">
                    <a:solidFill>
                      <a:schemeClr val="tx1"/>
                    </a:solidFill>
                  </a:rPr>
                  <a:t>Frequencies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14000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Inc.</a:t>
            </a:r>
            <a:r>
              <a:rPr lang="tr-TR" baseline="0"/>
              <a:t> Cumulative Frequency Polygon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Sayfa1!$E$88:$E$92</c:f>
              <c:numCache>
                <c:formatCode>General</c:formatCode>
                <c:ptCount val="5"/>
                <c:pt idx="0">
                  <c:v>784.6</c:v>
                </c:pt>
                <c:pt idx="1">
                  <c:v>786.6</c:v>
                </c:pt>
                <c:pt idx="2">
                  <c:v>788.6</c:v>
                </c:pt>
                <c:pt idx="3">
                  <c:v>790.6</c:v>
                </c:pt>
                <c:pt idx="4">
                  <c:v>792.6</c:v>
                </c:pt>
              </c:numCache>
            </c:numRef>
          </c:cat>
          <c:val>
            <c:numRef>
              <c:f>Sayfa1!$F$88:$F$92</c:f>
              <c:numCache>
                <c:formatCode>General</c:formatCode>
                <c:ptCount val="5"/>
                <c:pt idx="0">
                  <c:v>0</c:v>
                </c:pt>
                <c:pt idx="1">
                  <c:v>54</c:v>
                </c:pt>
                <c:pt idx="2">
                  <c:v>133</c:v>
                </c:pt>
                <c:pt idx="3">
                  <c:v>179</c:v>
                </c:pt>
                <c:pt idx="4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1-4954-A15D-7B717090CC8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32786752"/>
        <c:axId val="1232798752"/>
      </c:lineChart>
      <c:catAx>
        <c:axId val="1232786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Time(Values)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32798752"/>
        <c:crosses val="autoZero"/>
        <c:auto val="1"/>
        <c:lblAlgn val="ctr"/>
        <c:lblOffset val="100"/>
        <c:noMultiLvlLbl val="0"/>
      </c:catAx>
      <c:valAx>
        <c:axId val="123279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Frequencies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3278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tr-TR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Boxplot</a:t>
            </a:r>
            <a:endPara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94DEC90C-4C27-4E82-A829-F6D159CB1613}">
          <cx:spPr>
            <a:solidFill>
              <a:schemeClr val="accent1">
                <a:lumMod val="60000"/>
                <a:lumOff val="40000"/>
              </a:schemeClr>
            </a:solidFill>
          </cx:spPr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  <cx:spPr>
          <a:ln>
            <a:solidFill>
              <a:schemeClr val="tx1"/>
            </a:solidFill>
          </a:ln>
        </cx:sp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4.xml"/><Relationship Id="rId10" Type="http://schemas.openxmlformats.org/officeDocument/2006/relationships/image" Target="../media/image5.png"/><Relationship Id="rId4" Type="http://schemas.microsoft.com/office/2014/relationships/chartEx" Target="../charts/chartEx1.xml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116634</xdr:colOff>
      <xdr:row>8</xdr:row>
      <xdr:rowOff>7775</xdr:rowOff>
    </xdr:from>
    <xdr:to>
      <xdr:col>8</xdr:col>
      <xdr:colOff>1905001</xdr:colOff>
      <xdr:row>23</xdr:row>
      <xdr:rowOff>7774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7F575C-E231-BD9C-E279-CD70EFFD3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15551</xdr:colOff>
      <xdr:row>7</xdr:row>
      <xdr:rowOff>171838</xdr:rowOff>
    </xdr:from>
    <xdr:to>
      <xdr:col>12</xdr:col>
      <xdr:colOff>443204</xdr:colOff>
      <xdr:row>23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7610D16-F2A9-13B1-5E4C-A12D82981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466530</xdr:colOff>
      <xdr:row>24</xdr:row>
      <xdr:rowOff>179613</xdr:rowOff>
    </xdr:from>
    <xdr:to>
      <xdr:col>9</xdr:col>
      <xdr:colOff>1049693</xdr:colOff>
      <xdr:row>41</xdr:row>
      <xdr:rowOff>77755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40E7203-240D-837C-6FA2-FC042B71B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1244082</xdr:colOff>
      <xdr:row>69</xdr:row>
      <xdr:rowOff>8553</xdr:rowOff>
    </xdr:from>
    <xdr:to>
      <xdr:col>8</xdr:col>
      <xdr:colOff>0</xdr:colOff>
      <xdr:row>83</xdr:row>
      <xdr:rowOff>139182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837CDE3-BEB7-AD9B-AA24-32D248EDB9E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52942" y="12627273"/>
              <a:ext cx="5354838" cy="26909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54428</xdr:colOff>
      <xdr:row>74</xdr:row>
      <xdr:rowOff>1</xdr:rowOff>
    </xdr:from>
    <xdr:to>
      <xdr:col>9</xdr:col>
      <xdr:colOff>1632856</xdr:colOff>
      <xdr:row>78</xdr:row>
      <xdr:rowOff>178838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AAA5C1C-5DD4-E3CC-80EB-A0E481C1A9DE}"/>
            </a:ext>
          </a:extLst>
        </xdr:cNvPr>
        <xdr:cNvSpPr txBox="1"/>
      </xdr:nvSpPr>
      <xdr:spPr>
        <a:xfrm>
          <a:off x="8731897" y="13809307"/>
          <a:ext cx="3810000" cy="9252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 b="1" kern="1200"/>
            <a:t>NOTE</a:t>
          </a:r>
          <a:r>
            <a:rPr lang="tr-TR" sz="1100" kern="1200"/>
            <a:t>:</a:t>
          </a:r>
        </a:p>
        <a:p>
          <a:r>
            <a:rPr lang="tr-TR" sz="1100" kern="1200"/>
            <a:t>|Median-Q3|&gt;&gt;|Median-Q1| =&gt; Data is skewed to right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|Median-Q3|&lt;&lt;|Median-Q1| =&gt; Data is skewed to left</a:t>
          </a:r>
          <a:endParaRPr lang="tr-TR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r-T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|Median-Q3|</a:t>
          </a:r>
          <a:r>
            <a:rPr lang="tr-T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≈</a:t>
          </a:r>
          <a:r>
            <a:rPr lang="tr-T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|Median-Q1| =&gt; Data is symmetric</a:t>
          </a:r>
          <a:endParaRPr lang="tr-TR">
            <a:effectLst/>
          </a:endParaRPr>
        </a:p>
        <a:p>
          <a:endParaRPr lang="tr-TR" sz="1100" kern="1200"/>
        </a:p>
      </xdr:txBody>
    </xdr:sp>
    <xdr:clientData/>
  </xdr:twoCellAnchor>
  <xdr:twoCellAnchor>
    <xdr:from>
      <xdr:col>6</xdr:col>
      <xdr:colOff>287692</xdr:colOff>
      <xdr:row>86</xdr:row>
      <xdr:rowOff>12440</xdr:rowOff>
    </xdr:from>
    <xdr:to>
      <xdr:col>8</xdr:col>
      <xdr:colOff>979715</xdr:colOff>
      <xdr:row>97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3B2C1F-5676-4181-E76A-E0AA2C1F3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114</xdr:row>
      <xdr:rowOff>0</xdr:rowOff>
    </xdr:from>
    <xdr:to>
      <xdr:col>6</xdr:col>
      <xdr:colOff>964163</xdr:colOff>
      <xdr:row>120</xdr:row>
      <xdr:rowOff>85531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FD127CC-F1DA-C2D8-1E18-4391450D5A49}"/>
            </a:ext>
          </a:extLst>
        </xdr:cNvPr>
        <xdr:cNvSpPr txBox="1"/>
      </xdr:nvSpPr>
      <xdr:spPr>
        <a:xfrm>
          <a:off x="3561184" y="21281571"/>
          <a:ext cx="3024673" cy="12052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 kern="1200"/>
            <a:t>The population variance is unknown. </a:t>
          </a:r>
        </a:p>
        <a:p>
          <a:r>
            <a:rPr lang="tr-TR" sz="1100" kern="1200"/>
            <a:t>We</a:t>
          </a:r>
          <a:r>
            <a:rPr lang="tr-TR" sz="1100" kern="1200" baseline="0"/>
            <a:t> know the sample's size is 200( n&gt;=30)</a:t>
          </a:r>
        </a:p>
        <a:p>
          <a:r>
            <a:rPr lang="tr-TR" sz="1100" kern="1200" baseline="0"/>
            <a:t>mean formula is:</a:t>
          </a:r>
        </a:p>
        <a:p>
          <a:r>
            <a:rPr lang="tr-TR" sz="1100" kern="1200"/>
            <a:t>               </a:t>
          </a:r>
        </a:p>
      </xdr:txBody>
    </xdr:sp>
    <xdr:clientData/>
  </xdr:twoCellAnchor>
  <xdr:twoCellAnchor editAs="oneCell">
    <xdr:from>
      <xdr:col>4</xdr:col>
      <xdr:colOff>0</xdr:colOff>
      <xdr:row>114</xdr:row>
      <xdr:rowOff>0</xdr:rowOff>
    </xdr:from>
    <xdr:to>
      <xdr:col>4</xdr:col>
      <xdr:colOff>304800</xdr:colOff>
      <xdr:row>115</xdr:row>
      <xdr:rowOff>121920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1ED3E47E-818C-150B-F6AD-A4FB0E73CE46}"/>
            </a:ext>
          </a:extLst>
        </xdr:cNvPr>
        <xdr:cNvSpPr>
          <a:spLocks noChangeAspect="1" noChangeArrowheads="1"/>
        </xdr:cNvSpPr>
      </xdr:nvSpPr>
      <xdr:spPr bwMode="auto">
        <a:xfrm>
          <a:off x="3558540" y="2086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114</xdr:row>
      <xdr:rowOff>0</xdr:rowOff>
    </xdr:from>
    <xdr:to>
      <xdr:col>4</xdr:col>
      <xdr:colOff>304800</xdr:colOff>
      <xdr:row>115</xdr:row>
      <xdr:rowOff>121920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3E049ECA-27F8-1553-BAC4-5531EC37C09D}"/>
            </a:ext>
          </a:extLst>
        </xdr:cNvPr>
        <xdr:cNvSpPr>
          <a:spLocks noChangeAspect="1" noChangeArrowheads="1"/>
        </xdr:cNvSpPr>
      </xdr:nvSpPr>
      <xdr:spPr bwMode="auto">
        <a:xfrm>
          <a:off x="3558540" y="2086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114</xdr:row>
      <xdr:rowOff>0</xdr:rowOff>
    </xdr:from>
    <xdr:to>
      <xdr:col>4</xdr:col>
      <xdr:colOff>304800</xdr:colOff>
      <xdr:row>115</xdr:row>
      <xdr:rowOff>121920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19BB7F5F-4A8A-86C1-002A-2FD65C7A21F6}"/>
            </a:ext>
          </a:extLst>
        </xdr:cNvPr>
        <xdr:cNvSpPr>
          <a:spLocks noChangeAspect="1" noChangeArrowheads="1"/>
        </xdr:cNvSpPr>
      </xdr:nvSpPr>
      <xdr:spPr bwMode="auto">
        <a:xfrm>
          <a:off x="3558540" y="2086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114</xdr:row>
      <xdr:rowOff>0</xdr:rowOff>
    </xdr:from>
    <xdr:to>
      <xdr:col>4</xdr:col>
      <xdr:colOff>304800</xdr:colOff>
      <xdr:row>115</xdr:row>
      <xdr:rowOff>121920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1DFCFFDD-92F9-B626-417F-FC6CA61A0FEB}"/>
            </a:ext>
          </a:extLst>
        </xdr:cNvPr>
        <xdr:cNvSpPr>
          <a:spLocks noChangeAspect="1" noChangeArrowheads="1"/>
        </xdr:cNvSpPr>
      </xdr:nvSpPr>
      <xdr:spPr bwMode="auto">
        <a:xfrm>
          <a:off x="3558540" y="2086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357674</xdr:colOff>
      <xdr:row>117</xdr:row>
      <xdr:rowOff>38878</xdr:rowOff>
    </xdr:from>
    <xdr:to>
      <xdr:col>5</xdr:col>
      <xdr:colOff>925286</xdr:colOff>
      <xdr:row>120</xdr:row>
      <xdr:rowOff>46301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41EFF16-2C28-9F0B-F3D2-584C8B637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8858" y="21880286"/>
          <a:ext cx="1702836" cy="567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124</xdr:row>
      <xdr:rowOff>0</xdr:rowOff>
    </xdr:from>
    <xdr:to>
      <xdr:col>5</xdr:col>
      <xdr:colOff>884887</xdr:colOff>
      <xdr:row>128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C0AAB62-CA6B-7040-24CD-BD16170AF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1184" y="23147694"/>
          <a:ext cx="2020111" cy="74644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124</xdr:row>
      <xdr:rowOff>0</xdr:rowOff>
    </xdr:from>
    <xdr:to>
      <xdr:col>8</xdr:col>
      <xdr:colOff>434378</xdr:colOff>
      <xdr:row>126</xdr:row>
      <xdr:rowOff>30671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2F8C09B-774F-4F96-8A11-205B8E73F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47653" y="23147694"/>
          <a:ext cx="434378" cy="403895"/>
        </a:xfrm>
        <a:prstGeom prst="rect">
          <a:avLst/>
        </a:prstGeom>
      </xdr:spPr>
    </xdr:pic>
    <xdr:clientData/>
  </xdr:twoCellAnchor>
  <xdr:twoCellAnchor editAs="oneCell">
    <xdr:from>
      <xdr:col>8</xdr:col>
      <xdr:colOff>23327</xdr:colOff>
      <xdr:row>128</xdr:row>
      <xdr:rowOff>31103</xdr:rowOff>
    </xdr:from>
    <xdr:to>
      <xdr:col>8</xdr:col>
      <xdr:colOff>564394</xdr:colOff>
      <xdr:row>129</xdr:row>
      <xdr:rowOff>134076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E0CAA9E-F9CE-DF5C-4A29-1EA687165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70980" y="23925246"/>
          <a:ext cx="541067" cy="289585"/>
        </a:xfrm>
        <a:prstGeom prst="rect">
          <a:avLst/>
        </a:prstGeom>
      </xdr:spPr>
    </xdr:pic>
    <xdr:clientData/>
  </xdr:twoCellAnchor>
  <xdr:twoCellAnchor>
    <xdr:from>
      <xdr:col>5</xdr:col>
      <xdr:colOff>287694</xdr:colOff>
      <xdr:row>132</xdr:row>
      <xdr:rowOff>178837</xdr:rowOff>
    </xdr:from>
    <xdr:to>
      <xdr:col>7</xdr:col>
      <xdr:colOff>870857</xdr:colOff>
      <xdr:row>139</xdr:row>
      <xdr:rowOff>163285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EEA4A60-5E02-A573-F393-2EC556C158B2}"/>
            </a:ext>
          </a:extLst>
        </xdr:cNvPr>
        <xdr:cNvSpPr txBox="1"/>
      </xdr:nvSpPr>
      <xdr:spPr>
        <a:xfrm>
          <a:off x="4813041" y="24819429"/>
          <a:ext cx="2231571" cy="12907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 kern="1200"/>
            <a:t>The population variance is unkown.</a:t>
          </a:r>
        </a:p>
        <a:p>
          <a:r>
            <a:rPr lang="tr-TR" sz="1100" kern="1200"/>
            <a:t>We know sample size=200&gt;=30</a:t>
          </a:r>
        </a:p>
        <a:p>
          <a:endParaRPr lang="tr-TR" sz="1100" kern="1200"/>
        </a:p>
      </xdr:txBody>
    </xdr:sp>
    <xdr:clientData/>
  </xdr:twoCellAnchor>
  <xdr:twoCellAnchor editAs="oneCell">
    <xdr:from>
      <xdr:col>5</xdr:col>
      <xdr:colOff>450979</xdr:colOff>
      <xdr:row>135</xdr:row>
      <xdr:rowOff>178835</xdr:rowOff>
    </xdr:from>
    <xdr:to>
      <xdr:col>6</xdr:col>
      <xdr:colOff>629815</xdr:colOff>
      <xdr:row>139</xdr:row>
      <xdr:rowOff>101081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5D96DB2-ADA7-0466-9A65-2164B46ED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6326" y="25379264"/>
          <a:ext cx="1220755" cy="668695"/>
        </a:xfrm>
        <a:prstGeom prst="rect">
          <a:avLst/>
        </a:prstGeom>
      </xdr:spPr>
    </xdr:pic>
    <xdr:clientData/>
  </xdr:twoCellAnchor>
  <xdr:twoCellAnchor>
    <xdr:from>
      <xdr:col>5</xdr:col>
      <xdr:colOff>233265</xdr:colOff>
      <xdr:row>143</xdr:row>
      <xdr:rowOff>132183</xdr:rowOff>
    </xdr:from>
    <xdr:to>
      <xdr:col>7</xdr:col>
      <xdr:colOff>909735</xdr:colOff>
      <xdr:row>150</xdr:row>
      <xdr:rowOff>155510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C37A83A-B81B-16BE-9590-5ACBBB48FA3D}"/>
            </a:ext>
          </a:extLst>
        </xdr:cNvPr>
        <xdr:cNvSpPr txBox="1"/>
      </xdr:nvSpPr>
      <xdr:spPr>
        <a:xfrm>
          <a:off x="4758612" y="26825510"/>
          <a:ext cx="2324878" cy="13296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population variance is unkown.</a:t>
          </a:r>
          <a:endParaRPr lang="tr-TR">
            <a:effectLst/>
          </a:endParaRPr>
        </a:p>
        <a:p>
          <a:r>
            <a:rPr lang="tr-T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know sample size=200&gt;=30</a:t>
          </a:r>
          <a:endParaRPr lang="tr-TR">
            <a:effectLst/>
          </a:endParaRPr>
        </a:p>
        <a:p>
          <a:endParaRPr lang="tr-TR" sz="1100" kern="1200"/>
        </a:p>
      </xdr:txBody>
    </xdr:sp>
    <xdr:clientData/>
  </xdr:twoCellAnchor>
  <xdr:twoCellAnchor editAs="oneCell">
    <xdr:from>
      <xdr:col>5</xdr:col>
      <xdr:colOff>365449</xdr:colOff>
      <xdr:row>146</xdr:row>
      <xdr:rowOff>38878</xdr:rowOff>
    </xdr:from>
    <xdr:to>
      <xdr:col>6</xdr:col>
      <xdr:colOff>404326</xdr:colOff>
      <xdr:row>149</xdr:row>
      <xdr:rowOff>112806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6614DB0-433F-554E-6268-0D6AA1EDD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0796" y="27292041"/>
          <a:ext cx="1080796" cy="633765"/>
        </a:xfrm>
        <a:prstGeom prst="rect">
          <a:avLst/>
        </a:prstGeom>
      </xdr:spPr>
    </xdr:pic>
    <xdr:clientData/>
  </xdr:twoCellAnchor>
  <xdr:twoCellAnchor>
    <xdr:from>
      <xdr:col>9</xdr:col>
      <xdr:colOff>7774</xdr:colOff>
      <xdr:row>145</xdr:row>
      <xdr:rowOff>0</xdr:rowOff>
    </xdr:from>
    <xdr:to>
      <xdr:col>10</xdr:col>
      <xdr:colOff>15551</xdr:colOff>
      <xdr:row>151</xdr:row>
      <xdr:rowOff>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985A3E5-9BC9-A155-3441-E17CB8923B70}"/>
            </a:ext>
          </a:extLst>
        </xdr:cNvPr>
        <xdr:cNvSpPr txBox="1"/>
      </xdr:nvSpPr>
      <xdr:spPr>
        <a:xfrm>
          <a:off x="11142305" y="27066551"/>
          <a:ext cx="1881675" cy="111967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r-TR" sz="1100" kern="1200"/>
            <a:t>To reject H0  𝛼 must be larger</a:t>
          </a:r>
          <a:r>
            <a:rPr lang="tr-TR" sz="1100" kern="1200" baseline="0"/>
            <a:t> than P value. </a:t>
          </a:r>
        </a:p>
        <a:p>
          <a:r>
            <a:rPr lang="tr-TR" sz="1100" kern="1200" baseline="0"/>
            <a:t>Pvalue= 0,06349213 so for all values for </a:t>
          </a:r>
          <a:r>
            <a:rPr lang="tr-T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𝛼&gt;</a:t>
          </a:r>
          <a:r>
            <a:rPr lang="tr-T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0,06349213</a:t>
          </a:r>
        </a:p>
        <a:p>
          <a:r>
            <a:rPr lang="tr-TR" sz="110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 reject H0.</a:t>
          </a:r>
        </a:p>
        <a:p>
          <a:r>
            <a:rPr lang="tr-TR" sz="110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tr-T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𝛼</a:t>
          </a:r>
          <a:r>
            <a:rPr lang="tr-T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should</a:t>
          </a:r>
          <a:r>
            <a:rPr lang="tr-T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</a:t>
          </a:r>
          <a:r>
            <a:rPr lang="tr-T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&lt; 1 )</a:t>
          </a:r>
          <a:endParaRPr lang="tr-TR" sz="1100" kern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9</xdr:col>
      <xdr:colOff>15551</xdr:colOff>
      <xdr:row>44</xdr:row>
      <xdr:rowOff>7776</xdr:rowOff>
    </xdr:from>
    <xdr:ext cx="3374571" cy="948612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D994B1A2-EFC0-2CD6-476B-519D7319F925}"/>
            </a:ext>
          </a:extLst>
        </xdr:cNvPr>
        <xdr:cNvSpPr txBox="1"/>
      </xdr:nvSpPr>
      <xdr:spPr>
        <a:xfrm>
          <a:off x="10325878" y="8218715"/>
          <a:ext cx="3374571" cy="9486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tr-TR" sz="1100" kern="1200"/>
            <a:t>Mean&lt;Median&lt;Mode  =&gt; skewed to left</a:t>
          </a:r>
        </a:p>
        <a:p>
          <a:r>
            <a:rPr lang="tr-TR" sz="1100" kern="1200"/>
            <a:t>Mean&gt;Median&gt;Mode  =&gt;skewed</a:t>
          </a:r>
          <a:r>
            <a:rPr lang="tr-TR" sz="1100" kern="1200" baseline="0"/>
            <a:t> to right</a:t>
          </a:r>
        </a:p>
        <a:p>
          <a:r>
            <a:rPr lang="tr-TR" sz="1100" kern="1200" baseline="0"/>
            <a:t>Mean=Median=Mode   =&gt;symmetric</a:t>
          </a:r>
        </a:p>
        <a:p>
          <a:r>
            <a:rPr lang="tr-TR" sz="1100" kern="1200" baseline="0"/>
            <a:t>According to our values our graph is skewed to right.</a:t>
          </a:r>
          <a:endParaRPr lang="tr-TR" sz="1100" kern="12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9E390B-0A01-4342-B209-9C8D788931AA}" name="Table1" displayName="Table1" ref="E2:L6" totalsRowShown="0">
  <autoFilter ref="E2:L6" xr:uid="{459E390B-0A01-4342-B209-9C8D788931AA}"/>
  <tableColumns count="8">
    <tableColumn id="1" xr3:uid="{E0A913B1-F91D-4EE1-9D83-59E87511A3DA}" name="class interval">
      <calculatedColumnFormula>C3 &amp; "-" &amp; D3</calculatedColumnFormula>
    </tableColumn>
    <tableColumn id="2" xr3:uid="{F0570077-926E-4BBA-ACF9-79AAEF3BF3CA}" name="midpoints">
      <calculatedColumnFormula>(C3 + D3) / 2</calculatedColumnFormula>
    </tableColumn>
    <tableColumn id="3" xr3:uid="{0D5BF923-2DB8-4E39-AA7D-CA997F0D2B60}" name="frequencies">
      <calculatedColumnFormula>COUNTIFS(B3:B202, "&gt;="&amp;C3, B3:B202, "&lt;"&amp;D3)</calculatedColumnFormula>
    </tableColumn>
    <tableColumn id="4" xr3:uid="{E115F1C9-0EAF-4D4B-8E49-0CF152BDF662}" name="increasing cumulative frequencies">
      <calculatedColumnFormula>H2+G3</calculatedColumnFormula>
    </tableColumn>
    <tableColumn id="5" xr3:uid="{6519A4B4-31CC-437E-A0D2-687402B4FC47}" name="decreasing cumulative frequencies">
      <calculatedColumnFormula>I2-G2</calculatedColumnFormula>
    </tableColumn>
    <tableColumn id="6" xr3:uid="{564E9542-D3F9-4CD0-ADEE-B05EF9F5268E}" name="inc. cumulative relative freq.">
      <calculatedColumnFormula>H3/200</calculatedColumnFormula>
    </tableColumn>
    <tableColumn id="7" xr3:uid="{C8CD6F76-593B-4F11-872D-7AE977637F13}" name="dec. cumulative relative freq.">
      <calculatedColumnFormula>I3/200</calculatedColumnFormula>
    </tableColumn>
    <tableColumn id="8" xr3:uid="{2C338745-F654-46F1-AAD9-124F42EF5CE8}" name="relative freq.">
      <calculatedColumnFormula>G3/200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B7F0AD-7B68-44D3-AD82-986812FBDF54}" name="Table3" displayName="Table3" ref="E10:F14" totalsRowShown="0">
  <autoFilter ref="E10:F14" xr:uid="{4DB7F0AD-7B68-44D3-AD82-986812FBDF54}"/>
  <tableColumns count="2">
    <tableColumn id="1" xr3:uid="{42309578-67FB-4092-985A-D62513DF2CFD}" name="class interval">
      <calculatedColumnFormula>C3 &amp; "-" &amp; D3</calculatedColumnFormula>
    </tableColumn>
    <tableColumn id="2" xr3:uid="{B43FBDAA-4899-45A8-90F2-0954B8D8CCE7}" name="frequencies">
      <calculatedColumnFormula>COUNTIFS(B3:B202, "&gt;="&amp;C3, B3:B202, "&lt;"&amp;D3)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8ACE61-C23E-47C7-B94C-97067A99E30C}" name="Table4" displayName="Table4" ref="E16:F22" totalsRowShown="0">
  <autoFilter ref="E16:F22" xr:uid="{638ACE61-C23E-47C7-B94C-97067A99E30C}"/>
  <tableColumns count="2">
    <tableColumn id="1" xr3:uid="{0683FCCB-4CA6-46A0-B4BA-A64B2983C489}" name="midpoints"/>
    <tableColumn id="2" xr3:uid="{222439C1-C546-497E-A866-0BA4345CD4D1}" name="frequencies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84E499E-C67A-47A9-888A-33EAAFAB679D}" name="Table5" displayName="Table5" ref="E27:G32" totalsRowShown="0">
  <autoFilter ref="E27:G32" xr:uid="{384E499E-C67A-47A9-888A-33EAAFAB679D}"/>
  <tableColumns count="3">
    <tableColumn id="1" xr3:uid="{333C1303-AE87-4133-9343-135AC8DF0209}" name="time(values)">
      <calculatedColumnFormula>C2 + 2</calculatedColumnFormula>
    </tableColumn>
    <tableColumn id="2" xr3:uid="{E0BF43C4-1E52-4D9F-9A66-718268BC8F7D}" name="inc. Cu. Freq"/>
    <tableColumn id="3" xr3:uid="{DE33DB1B-8185-4BAF-81DD-AC305DAD6074}" name="dec. Cu. Freq">
      <calculatedColumnFormula>I2-G2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BA43B2-6258-437E-8102-21B139607917}" name="Table6" displayName="Table6" ref="E45:I46" totalsRowShown="0">
  <autoFilter ref="E45:I46" xr:uid="{65BA43B2-6258-437E-8102-21B139607917}"/>
  <tableColumns count="5">
    <tableColumn id="1" xr3:uid="{DBD613BD-F6E4-4842-B0B3-B956D4D06A0D}" name="Mean (arith.):">
      <calculatedColumnFormula>AVERAGE(B3:B202)</calculatedColumnFormula>
    </tableColumn>
    <tableColumn id="2" xr3:uid="{A2ADBDBF-F3BC-430B-8C9E-36668B4060FE}" name="        Median:">
      <calculatedColumnFormula>MEDIAN(B3:B202)</calculatedColumnFormula>
    </tableColumn>
    <tableColumn id="3" xr3:uid="{2D2B4960-C8FF-4E18-9EF2-814FE7519388}" name="            Mode:">
      <calculatedColumnFormula>MODE(B3:B202)</calculatedColumnFormula>
    </tableColumn>
    <tableColumn id="4" xr3:uid="{36873BD3-195E-45B1-9B1A-94714958DA0D}" name="                         Standart Deviation:">
      <calculatedColumnFormula>_xlfn.STDEV.P(B3:B202)</calculatedColumnFormula>
    </tableColumn>
    <tableColumn id="5" xr3:uid="{30799C79-C1D9-465A-872B-DADAB39370D7}" name="           Symmetry of the disribution:" dataDxfId="13">
      <calculatedColumnFormula>IF(AND(AVERAGE(B3:B202) &gt; MEDIAN(B3:B202), MEDIAN(B3:B202) &gt; MODE(B3:B202)), "Skewed to Right", IF(AND(AVERAGE(B3:B202) &lt; MEDIAN(B3:B202), MEDIAN(B3:B202) &lt; MODE(B3:B202)), "Skewed to Left", "Symmetric"))</calculatedColumnFormula>
    </tableColumn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3E46FBF-9376-42DD-9D88-7F430667853F}" name="Table7" displayName="Table7" ref="E50:H51" totalsRowShown="0">
  <autoFilter ref="E50:H51" xr:uid="{B3E46FBF-9376-42DD-9D88-7F430667853F}"/>
  <tableColumns count="4">
    <tableColumn id="1" xr3:uid="{C4352B1D-F5D0-4813-8171-635B806C4A96}" name="Mean (arith.):">
      <calculatedColumnFormula>SUMPRODUCT(G3:G6, F3:F6) / SUM(G3:G6)</calculatedColumnFormula>
    </tableColumn>
    <tableColumn id="2" xr3:uid="{3AD0BD45-B94D-43F7-A2F9-9DB983F173FF}" name="        Median:">
      <calculatedColumnFormula>F58+((F56-F60)/F62)*F64</calculatedColumnFormula>
    </tableColumn>
    <tableColumn id="3" xr3:uid="{7A280E93-A1E7-4EDC-9596-BAB2F051C776}" name="            Mode:">
      <calculatedColumnFormula>G54+((G56-G58)/((G56-G58)+(G56-G60)))*G62</calculatedColumnFormula>
    </tableColumn>
    <tableColumn id="4" xr3:uid="{758E128D-323C-4F22-A577-44368FA267E3}" name="                           Standart Deviation:">
      <calculatedColumnFormula array="1">SQRT(SUMPRODUCT(G3:G6, (F3:F6 - (SUMPRODUCT(F3:F6, G3:G6) / SUM(G3:G6)))^2) / SUM(G3:G6))</calculatedColumnFormula>
    </tableColumn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97C8BAB-9FF0-406E-9318-024E4F41E948}" name="Table8" displayName="Table8" ref="F53:G64" totalsRowShown="0">
  <autoFilter ref="F53:G64" xr:uid="{597C8BAB-9FF0-406E-9318-024E4F41E948}"/>
  <tableColumns count="2">
    <tableColumn id="1" xr3:uid="{88B56732-57A7-49B5-A369-61A393EF293D}" name="Total Freq."/>
    <tableColumn id="2" xr3:uid="{27774C18-4A47-42BC-AAAC-8A2B8545D3B6}" name="L mode: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C58F95F-3A28-46EE-B5B9-E5514C94F279}" name="Table9" displayName="Table9" ref="E67:J68" totalsRowShown="0">
  <autoFilter ref="E67:J68" xr:uid="{4C58F95F-3A28-46EE-B5B9-E5514C94F279}"/>
  <tableColumns count="6">
    <tableColumn id="1" xr3:uid="{B0E9CEF0-E00A-4265-99FE-8D5005C9387A}" name="Quartile1:">
      <calculatedColumnFormula>_xlfn.QUARTILE.EXC(B3:B202, 1)</calculatedColumnFormula>
    </tableColumn>
    <tableColumn id="2" xr3:uid="{8551AE4D-687E-46FC-ADF5-D942ADBBF846}" name="     Quartile2:">
      <calculatedColumnFormula>_xlfn.QUARTILE.EXC(B3:B202, 2)</calculatedColumnFormula>
    </tableColumn>
    <tableColumn id="3" xr3:uid="{37CF2070-6E0F-4FF8-AB56-EF483AB8F9E2}" name="      Quartile3:">
      <calculatedColumnFormula>_xlfn.QUARTILE.EXC(B3:B202, 3)</calculatedColumnFormula>
    </tableColumn>
    <tableColumn id="4" xr3:uid="{E2E2B6EF-0215-425A-AED5-14397F4D111C}" name="                          Interquartile Range:">
      <calculatedColumnFormula>_xlfn.QUARTILE.EXC(B3:B202, 3) - _xlfn.QUARTILE.EXC(B3:B202, 1)</calculatedColumnFormula>
    </tableColumn>
    <tableColumn id="5" xr3:uid="{23DA77E9-503A-4C60-89C7-DDBF411717D0}" name="|Median-Q3|:">
      <calculatedColumnFormula>ABS(F68-G68)</calculatedColumnFormula>
    </tableColumn>
    <tableColumn id="6" xr3:uid="{E6B03084-1BFA-4D12-A536-03BAAB6B7975}" name="|Median-Q1|:">
      <calculatedColumnFormula>ABS(F68-E68)</calculatedColumnFormula>
    </tableColumn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17D80D2-F9DB-48D9-B438-9427AB1DACD7}" name="Table10" displayName="Table10" ref="E87:F92" totalsRowShown="0">
  <autoFilter ref="E87:F92" xr:uid="{C17D80D2-F9DB-48D9-B438-9427AB1DACD7}"/>
  <tableColumns count="2">
    <tableColumn id="1" xr3:uid="{4C0FB164-39EF-44EB-81E0-7128B625356A}" name="time(values)">
      <calculatedColumnFormula>C2 + 2</calculatedColumnFormula>
    </tableColumn>
    <tableColumn id="2" xr3:uid="{58DCA17A-B985-48E6-9B1A-510572B52544}" name="inc. Cu. Freq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903AC52-0CF4-418D-83AF-220B9482F7C2}" name="Table11" displayName="Table11" ref="E94:F97" totalsRowShown="0">
  <autoFilter ref="E94:F97" xr:uid="{8903AC52-0CF4-418D-83AF-220B9482F7C2}"/>
  <tableColumns count="2">
    <tableColumn id="1" xr3:uid="{9E6CCF2C-31F3-48A5-9D1E-2DB68CFFA3C6}" name="Mean:"/>
    <tableColumn id="2" xr3:uid="{5B40352B-38B5-4B6B-ADD2-4067CB57CB60}" name="μ+(σ/2)​"/>
  </tableColumns>
  <tableStyleInfo name="TableStyleLight2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774E997-6F5D-4ABA-B9E7-5F8B5377A4C0}" name="Table12" displayName="Table12" ref="E100:F104" totalsRowShown="0">
  <autoFilter ref="E100:F104" xr:uid="{3774E997-6F5D-4ABA-B9E7-5F8B5377A4C0}"/>
  <tableColumns count="2">
    <tableColumn id="1" xr3:uid="{18EEAFE6-B254-4CAE-867E-2D07DFFE6887}" name="class interval">
      <calculatedColumnFormula>C3 &amp; "-" &amp; D3</calculatedColumnFormula>
    </tableColumn>
    <tableColumn id="2" xr3:uid="{517014AA-A989-4BE4-AC70-0EE1BFEF98AA}" name="frequencies">
      <calculatedColumnFormula>COUNTIFS(B3:B202, "&gt;="&amp;C3, B3:B202, "&lt;"&amp;D3)</calculatedColumnFormula>
    </tableColumn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3B71C65-4EC9-4B4E-A584-E8AD6B7DE89A}" name="Table13" displayName="Table13" ref="J87:J103" totalsRowShown="0">
  <autoFilter ref="J87:J103" xr:uid="{43B71C65-4EC9-4B4E-A584-E8AD6B7DE89A}"/>
  <tableColumns count="1">
    <tableColumn id="1" xr3:uid="{04FF1033-6E17-44F5-99F2-9778AC37C8E6}" name="# freq. İn μ-(σ/2)​:"/>
  </tableColumns>
  <tableStyleInfo name="TableStyleLight16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2B5080D-34AA-460A-BF13-8D2D31D93FF4}" name="Table14" displayName="Table14" ref="E110:I111" totalsRowShown="0">
  <autoFilter ref="E110:I111" xr:uid="{92B5080D-34AA-460A-BF13-8D2D31D93FF4}"/>
  <tableColumns count="5">
    <tableColumn id="1" xr3:uid="{D1794E4C-41F0-4D86-BC6E-A0676FAC20AD}" name="Mean:">
      <calculatedColumnFormula>AVERAGE(B3:B202)</calculatedColumnFormula>
    </tableColumn>
    <tableColumn id="2" xr3:uid="{B4542EFE-3A83-4892-B52F-088DDC3F3BC1}" name="Standart Dev.:">
      <calculatedColumnFormula>_xlfn.STDEV.S(B3:B202)</calculatedColumnFormula>
    </tableColumn>
    <tableColumn id="3" xr3:uid="{470393A3-248F-41C1-B73B-2B6103561D43}" name="       Variance:">
      <calculatedColumnFormula>_xlfn.VAR.S(B3:B202)</calculatedColumnFormula>
    </tableColumn>
    <tableColumn id="4" xr3:uid="{94B57ADB-F5D1-468D-A1DF-F45240E209CC}" name="                                       Sample size:">
      <calculatedColumnFormula>COUNT(B3:B202)</calculatedColumnFormula>
    </tableColumn>
    <tableColumn id="5" xr3:uid="{6B8307C3-4BA2-4267-91BE-46F5FD30A9AA}" name="Sample size-1:">
      <calculatedColumnFormula>H111-1</calculatedColumnFormula>
    </tableColumn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07EDC24-865E-4749-BD4A-6BC342DA57DB}" name="Table16" displayName="Table16" ref="I115:I120" totalsRowShown="0">
  <autoFilter ref="I115:I120" xr:uid="{407EDC24-865E-4749-BD4A-6BC342DA57DB}"/>
  <tableColumns count="1">
    <tableColumn id="1" xr3:uid="{6F853D50-3197-4035-A589-91FF5F653947}" name="lower bound of CI:"/>
  </tableColumns>
  <tableStyleInfo name="TableStyleLight16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6EC0258-CF8C-49A8-A481-FCCA5DFA3158}" name="Table17" displayName="Table17" ref="H115:H122" headerRowCount="0" totalsRowShown="0" dataDxfId="12">
  <tableColumns count="1">
    <tableColumn id="1" xr3:uid="{0AA89111-6FAD-42A1-9B60-FDD1C3083E1C}" name="Column1" dataDxfId="11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B1A77AA-91C6-4021-8F4C-38A75C9DB7AA}" name="Table18" displayName="Table18" ref="H125:H130" totalsRowShown="0" dataDxfId="10">
  <autoFilter ref="H125:H130" xr:uid="{BB1A77AA-91C6-4021-8F4C-38A75C9DB7AA}"/>
  <tableColumns count="1">
    <tableColumn id="1" xr3:uid="{ED51BEB7-632A-4D5B-8EF3-7BC70F238021}" name="                       𝛼 = 0,08" dataDxfId="9"/>
  </tableColumns>
  <tableStyleInfo name="TableStyleLight1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1295971-270B-4032-906A-D28866F26F56}" name="Table19" displayName="Table19" ref="J125:J130" totalsRowShown="0" headerRowDxfId="8" dataDxfId="7">
  <autoFilter ref="J125:J130" xr:uid="{B1295971-270B-4032-906A-D28866F26F56}"/>
  <tableColumns count="1">
    <tableColumn id="1" xr3:uid="{D7802B19-BF6D-4E56-B8AF-F917BB36DFFE}" name="lower bound of CI:" dataDxfId="6"/>
  </tableColumns>
  <tableStyleInfo name="TableStyleLight16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1343C00-8CF0-4A61-8627-C24CD5125562}" name="Table20" displayName="Table20" ref="E134:E142" totalsRowShown="0">
  <autoFilter ref="E134:E142" xr:uid="{E1343C00-8CF0-4A61-8627-C24CD5125562}"/>
  <tableColumns count="1">
    <tableColumn id="1" xr3:uid="{0DE27DF4-8E1A-4E0B-A91A-1580580F6C48}" name="School number:"/>
  </tableColumns>
  <tableStyleInfo name="TableStyleLight1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8FD2AA52-B522-4A16-B3F1-7BA7A494BBD4}" name="Table23" displayName="Table23" ref="I134:I141" totalsRowShown="0" headerRowDxfId="5" dataDxfId="4">
  <autoFilter ref="I134:I141" xr:uid="{8FD2AA52-B522-4A16-B3F1-7BA7A494BBD4}"/>
  <tableColumns count="1">
    <tableColumn id="1" xr3:uid="{52A391EF-DDC0-4941-949E-00C0B17979F3}" name="square root of n:" dataDxfId="3"/>
  </tableColumns>
  <tableStyleInfo name="TableStyleLight16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4122D2D-99A0-4F53-AE0B-1EAA958FCF8E}" name="Table24" displayName="Table24" ref="J134:J135" totalsRowShown="0">
  <autoFilter ref="J134:J135" xr:uid="{A4122D2D-99A0-4F53-AE0B-1EAA958FCF8E}"/>
  <tableColumns count="1">
    <tableColumn id="1" xr3:uid="{339FB7F8-F333-49D3-B827-0BE9CCC61161}" name="P value=2*P(z&gt;z0):">
      <calculatedColumnFormula>2*(1-_xlfn.NORM.S.DIST(I141, TRUE))</calculatedColumnFormula>
    </tableColumn>
  </tableColumns>
  <tableStyleInfo name="TableStyleLight1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593C29B-723D-4E4B-8AD8-6F422A87FFA2}" name="Table25" displayName="Table25" ref="J138:J139" headerRowCount="0" totalsRowShown="0">
  <tableColumns count="1">
    <tableColumn id="1" xr3:uid="{50E0C137-3263-44E1-87B8-D80D2AD7DFA1}" name="Column1"/>
  </tableColumns>
  <tableStyleInfo name="TableStyleLight10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1ED2418-E4F7-4A44-90A9-FBD749594C02}" name="Table26" displayName="Table26" ref="E145:E147" totalsRowShown="0">
  <autoFilter ref="E145:E147" xr:uid="{91ED2418-E4F7-4A44-90A9-FBD749594C02}"/>
  <tableColumns count="1">
    <tableColumn id="1" xr3:uid="{539E013F-1A83-4C36-AFF4-E3D2829A80FB}" name="H0:μ&gt;=12,2+X"/>
  </tableColumns>
  <tableStyleInfo name="TableStyleLight20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866CD89-BAF1-44B9-8890-F98906575219}" name="Table27" displayName="Table27" ref="I144:I151" totalsRowShown="0" headerRowDxfId="2" dataDxfId="1">
  <autoFilter ref="I144:I151" xr:uid="{F866CD89-BAF1-44B9-8890-F98906575219}"/>
  <tableColumns count="1">
    <tableColumn id="1" xr3:uid="{69A559D5-A56C-4612-9924-64229074891E}" name="      square root of n:" dataDxfId="0"/>
  </tableColumns>
  <tableStyleInfo name="TableStyleLight20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DD2A1E1-2685-4E8C-A85C-EF161D37271C}" name="Table28" displayName="Table28" ref="J144:J145" totalsRowShown="0">
  <autoFilter ref="J144:J145" xr:uid="{2DD2A1E1-2685-4E8C-A85C-EF161D37271C}"/>
  <tableColumns count="1">
    <tableColumn id="1" xr3:uid="{6BF5B125-95A8-4A48-B4E4-E6A6EFBE219E}" name="Pvalue=P(z&lt;z0):">
      <calculatedColumnFormula>_xlfn.NORM.S.DIST(I151, TRUE)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2"/>
  <sheetViews>
    <sheetView tabSelected="1" topLeftCell="D117" zoomScale="98" zoomScaleNormal="100" workbookViewId="0">
      <selection activeCell="E145" sqref="E145:E147"/>
    </sheetView>
  </sheetViews>
  <sheetFormatPr defaultRowHeight="14.4" x14ac:dyDescent="0.3"/>
  <cols>
    <col min="1" max="1" width="6.5546875" customWidth="1"/>
    <col min="3" max="4" width="18.21875" customWidth="1"/>
    <col min="5" max="5" width="16.5546875" customWidth="1"/>
    <col min="6" max="6" width="15.21875" customWidth="1"/>
    <col min="7" max="7" width="14.21875" customWidth="1"/>
    <col min="8" max="8" width="32" customWidth="1"/>
    <col min="9" max="9" width="32.5546875" customWidth="1"/>
    <col min="10" max="10" width="27.33203125" customWidth="1"/>
    <col min="11" max="11" width="27.88671875" customWidth="1"/>
    <col min="12" max="12" width="13.77734375" customWidth="1"/>
  </cols>
  <sheetData>
    <row r="1" spans="1:12" x14ac:dyDescent="0.3">
      <c r="E1" t="s">
        <v>3</v>
      </c>
    </row>
    <row r="2" spans="1:12" x14ac:dyDescent="0.3">
      <c r="A2" t="s">
        <v>0</v>
      </c>
      <c r="B2" t="s">
        <v>1</v>
      </c>
      <c r="C2" t="s">
        <v>4</v>
      </c>
      <c r="D2" t="s">
        <v>5</v>
      </c>
      <c r="E2" t="s">
        <v>2</v>
      </c>
      <c r="F2" t="s">
        <v>6</v>
      </c>
      <c r="G2" t="s">
        <v>13</v>
      </c>
      <c r="H2" t="s">
        <v>7</v>
      </c>
      <c r="I2" t="s">
        <v>8</v>
      </c>
      <c r="J2" t="s">
        <v>10</v>
      </c>
      <c r="K2" t="s">
        <v>9</v>
      </c>
      <c r="L2" t="s">
        <v>11</v>
      </c>
    </row>
    <row r="3" spans="1:12" x14ac:dyDescent="0.3">
      <c r="A3" s="1">
        <v>8.6</v>
      </c>
      <c r="B3">
        <f>A3+776</f>
        <v>784.6</v>
      </c>
      <c r="C3">
        <f>MIN(B3:B202)</f>
        <v>784.6</v>
      </c>
      <c r="D3">
        <f>C3 + 2</f>
        <v>786.6</v>
      </c>
      <c r="E3" t="str">
        <f>C3 &amp; "-" &amp; D3</f>
        <v>784,6-786,6</v>
      </c>
      <c r="F3">
        <f>(C3 + D3) / 2</f>
        <v>785.6</v>
      </c>
      <c r="G3">
        <f>COUNTIFS(B3:B202, "&gt;="&amp;C3, B3:B202, "&lt;"&amp;D3)</f>
        <v>54</v>
      </c>
      <c r="H3">
        <f>G3</f>
        <v>54</v>
      </c>
      <c r="I3">
        <f>H6</f>
        <v>200</v>
      </c>
      <c r="J3">
        <f>H3/200</f>
        <v>0.27</v>
      </c>
      <c r="K3">
        <f>I3/200</f>
        <v>1</v>
      </c>
      <c r="L3">
        <f>G3/200</f>
        <v>0.27</v>
      </c>
    </row>
    <row r="4" spans="1:12" x14ac:dyDescent="0.3">
      <c r="A4" s="1">
        <v>8.8000000000000007</v>
      </c>
      <c r="B4">
        <f t="shared" ref="B4:B67" si="0">A4+776</f>
        <v>784.8</v>
      </c>
      <c r="C4">
        <f>IF(C3 + 2 &lt;= MAX(B3:B202), C3 + 2, "")</f>
        <v>786.6</v>
      </c>
      <c r="D4">
        <f t="shared" ref="D4:D6" si="1">C4 + 2</f>
        <v>788.6</v>
      </c>
      <c r="E4" t="str">
        <f>C4 &amp; "-" &amp; D4</f>
        <v>786,6-788,6</v>
      </c>
      <c r="F4">
        <f>(C4 + D4) / 2</f>
        <v>787.6</v>
      </c>
      <c r="G4">
        <f>COUNTIFS(B4:B203, "&gt;="&amp;C4, B4:B203, "&lt;"&amp;D4)</f>
        <v>79</v>
      </c>
      <c r="H4">
        <f>H3+G4</f>
        <v>133</v>
      </c>
      <c r="I4">
        <f>I3-G3</f>
        <v>146</v>
      </c>
      <c r="J4">
        <f t="shared" ref="J4:J6" si="2">H4/200</f>
        <v>0.66500000000000004</v>
      </c>
      <c r="K4">
        <f t="shared" ref="K4:K6" si="3">I4/200</f>
        <v>0.73</v>
      </c>
      <c r="L4">
        <f>G4/200</f>
        <v>0.39500000000000002</v>
      </c>
    </row>
    <row r="5" spans="1:12" x14ac:dyDescent="0.3">
      <c r="A5" s="1">
        <v>9.8000000000000007</v>
      </c>
      <c r="B5">
        <f t="shared" si="0"/>
        <v>785.8</v>
      </c>
      <c r="C5">
        <f t="shared" ref="C5:C7" si="4">IF(C4 + 2 &lt;= MAX(B4:B203), C4 + 2, "")</f>
        <v>788.6</v>
      </c>
      <c r="D5">
        <f t="shared" si="1"/>
        <v>790.6</v>
      </c>
      <c r="E5" t="str">
        <f>C5 &amp; "-" &amp; D5</f>
        <v>788,6-790,6</v>
      </c>
      <c r="F5">
        <f>(C5 + D5) / 2</f>
        <v>789.6</v>
      </c>
      <c r="G5">
        <f>COUNTIFS(B5:B204, "&gt;="&amp;C5, B5:B204, "&lt;"&amp;D5)</f>
        <v>46</v>
      </c>
      <c r="H5">
        <f>H4+G5</f>
        <v>179</v>
      </c>
      <c r="I5">
        <f>I4-G4</f>
        <v>67</v>
      </c>
      <c r="J5">
        <f t="shared" si="2"/>
        <v>0.89500000000000002</v>
      </c>
      <c r="K5">
        <f t="shared" si="3"/>
        <v>0.33500000000000002</v>
      </c>
      <c r="L5">
        <f>G5/200</f>
        <v>0.23</v>
      </c>
    </row>
    <row r="6" spans="1:12" x14ac:dyDescent="0.3">
      <c r="A6" s="1">
        <v>9.8000000000000007</v>
      </c>
      <c r="B6">
        <f t="shared" si="0"/>
        <v>785.8</v>
      </c>
      <c r="C6">
        <f t="shared" si="4"/>
        <v>790.6</v>
      </c>
      <c r="D6">
        <f t="shared" si="1"/>
        <v>792.6</v>
      </c>
      <c r="E6" t="str">
        <f>C6 &amp; "-" &amp; D6</f>
        <v>790,6-792,6</v>
      </c>
      <c r="F6">
        <f>(C6 + D6) / 2</f>
        <v>791.6</v>
      </c>
      <c r="G6">
        <f>COUNTIFS(B6:B205, "&gt;="&amp;C6, B6:B205, "&lt;"&amp;D6)</f>
        <v>21</v>
      </c>
      <c r="H6">
        <f>H5+G6</f>
        <v>200</v>
      </c>
      <c r="I6">
        <f>I5-G5</f>
        <v>21</v>
      </c>
      <c r="J6">
        <f t="shared" si="2"/>
        <v>1</v>
      </c>
      <c r="K6">
        <f t="shared" si="3"/>
        <v>0.105</v>
      </c>
      <c r="L6">
        <f>G6/200</f>
        <v>0.105</v>
      </c>
    </row>
    <row r="7" spans="1:12" x14ac:dyDescent="0.3">
      <c r="A7" s="1">
        <v>9.8000000000000007</v>
      </c>
      <c r="B7">
        <f t="shared" si="0"/>
        <v>785.8</v>
      </c>
      <c r="C7" t="str">
        <f t="shared" si="4"/>
        <v/>
      </c>
    </row>
    <row r="8" spans="1:12" x14ac:dyDescent="0.3">
      <c r="A8" s="1">
        <v>9.8000000000000007</v>
      </c>
      <c r="B8">
        <f t="shared" si="0"/>
        <v>785.8</v>
      </c>
    </row>
    <row r="9" spans="1:12" x14ac:dyDescent="0.3">
      <c r="A9" s="1">
        <v>9.9</v>
      </c>
      <c r="B9">
        <f t="shared" si="0"/>
        <v>785.9</v>
      </c>
      <c r="E9" t="s">
        <v>12</v>
      </c>
    </row>
    <row r="10" spans="1:12" x14ac:dyDescent="0.3">
      <c r="A10" s="1">
        <v>9.9</v>
      </c>
      <c r="B10">
        <f t="shared" si="0"/>
        <v>785.9</v>
      </c>
      <c r="E10" t="s">
        <v>2</v>
      </c>
      <c r="F10" t="s">
        <v>13</v>
      </c>
    </row>
    <row r="11" spans="1:12" x14ac:dyDescent="0.3">
      <c r="A11" s="1">
        <v>9.9</v>
      </c>
      <c r="B11">
        <f t="shared" si="0"/>
        <v>785.9</v>
      </c>
      <c r="E11" t="str">
        <f>C3 &amp; "-" &amp; D3</f>
        <v>784,6-786,6</v>
      </c>
      <c r="F11">
        <f>COUNTIFS(B3:B202, "&gt;="&amp;C3, B3:B202, "&lt;"&amp;D3)</f>
        <v>54</v>
      </c>
    </row>
    <row r="12" spans="1:12" x14ac:dyDescent="0.3">
      <c r="A12" s="1">
        <v>9.9</v>
      </c>
      <c r="B12">
        <f t="shared" si="0"/>
        <v>785.9</v>
      </c>
      <c r="E12" t="str">
        <f t="shared" ref="E12:E14" si="5">C4 &amp; "-" &amp; D4</f>
        <v>786,6-788,6</v>
      </c>
      <c r="F12">
        <f t="shared" ref="F12:F14" si="6">COUNTIFS(B4:B203, "&gt;="&amp;C4, B4:B203, "&lt;"&amp;D4)</f>
        <v>79</v>
      </c>
    </row>
    <row r="13" spans="1:12" x14ac:dyDescent="0.3">
      <c r="A13" s="1">
        <v>9.9</v>
      </c>
      <c r="B13">
        <f t="shared" si="0"/>
        <v>785.9</v>
      </c>
      <c r="E13" t="str">
        <f t="shared" si="5"/>
        <v>788,6-790,6</v>
      </c>
      <c r="F13">
        <f t="shared" si="6"/>
        <v>46</v>
      </c>
    </row>
    <row r="14" spans="1:12" x14ac:dyDescent="0.3">
      <c r="A14" s="1">
        <v>9.9</v>
      </c>
      <c r="B14">
        <f t="shared" si="0"/>
        <v>785.9</v>
      </c>
      <c r="E14" t="str">
        <f t="shared" si="5"/>
        <v>790,6-792,6</v>
      </c>
      <c r="F14">
        <f t="shared" si="6"/>
        <v>21</v>
      </c>
    </row>
    <row r="15" spans="1:12" x14ac:dyDescent="0.3">
      <c r="A15" s="1">
        <v>9.9</v>
      </c>
      <c r="B15">
        <f t="shared" si="0"/>
        <v>785.9</v>
      </c>
    </row>
    <row r="16" spans="1:12" x14ac:dyDescent="0.3">
      <c r="A16" s="1">
        <v>9.9</v>
      </c>
      <c r="B16">
        <f t="shared" si="0"/>
        <v>785.9</v>
      </c>
      <c r="E16" t="s">
        <v>6</v>
      </c>
      <c r="F16" t="s">
        <v>13</v>
      </c>
    </row>
    <row r="17" spans="1:7" x14ac:dyDescent="0.3">
      <c r="A17" s="1">
        <v>9.9</v>
      </c>
      <c r="B17">
        <f t="shared" si="0"/>
        <v>785.9</v>
      </c>
      <c r="E17">
        <f>E18-2</f>
        <v>783.6</v>
      </c>
      <c r="F17">
        <v>0</v>
      </c>
    </row>
    <row r="18" spans="1:7" x14ac:dyDescent="0.3">
      <c r="A18" s="1">
        <v>9.9</v>
      </c>
      <c r="B18">
        <f t="shared" si="0"/>
        <v>785.9</v>
      </c>
      <c r="E18">
        <f>(C3 + D3) / 2</f>
        <v>785.6</v>
      </c>
      <c r="F18">
        <f>COUNTIFS(B3:B202, "&gt;="&amp;C3, B3:B202, "&lt;"&amp;D3)</f>
        <v>54</v>
      </c>
    </row>
    <row r="19" spans="1:7" x14ac:dyDescent="0.3">
      <c r="A19" s="1">
        <v>9.9</v>
      </c>
      <c r="B19">
        <f t="shared" si="0"/>
        <v>785.9</v>
      </c>
      <c r="E19">
        <f>(C4 + D4) / 2</f>
        <v>787.6</v>
      </c>
      <c r="F19">
        <f t="shared" ref="F19:F21" si="7">COUNTIFS(B4:B203, "&gt;="&amp;C4, B4:B203, "&lt;"&amp;D4)</f>
        <v>79</v>
      </c>
    </row>
    <row r="20" spans="1:7" x14ac:dyDescent="0.3">
      <c r="A20" s="1">
        <v>9.9</v>
      </c>
      <c r="B20">
        <f t="shared" si="0"/>
        <v>785.9</v>
      </c>
      <c r="E20">
        <f>(C5 + D5) / 2</f>
        <v>789.6</v>
      </c>
      <c r="F20">
        <f t="shared" si="7"/>
        <v>46</v>
      </c>
    </row>
    <row r="21" spans="1:7" x14ac:dyDescent="0.3">
      <c r="A21" s="1">
        <v>9.9</v>
      </c>
      <c r="B21">
        <f t="shared" si="0"/>
        <v>785.9</v>
      </c>
      <c r="E21">
        <f>(C6 + D6) / 2</f>
        <v>791.6</v>
      </c>
      <c r="F21">
        <f t="shared" si="7"/>
        <v>21</v>
      </c>
    </row>
    <row r="22" spans="1:7" x14ac:dyDescent="0.3">
      <c r="A22" s="1">
        <v>10</v>
      </c>
      <c r="B22">
        <f t="shared" si="0"/>
        <v>786</v>
      </c>
      <c r="E22">
        <f>E21+2</f>
        <v>793.6</v>
      </c>
      <c r="F22">
        <v>0</v>
      </c>
    </row>
    <row r="23" spans="1:7" x14ac:dyDescent="0.3">
      <c r="A23" s="1">
        <v>10</v>
      </c>
      <c r="B23">
        <f t="shared" si="0"/>
        <v>786</v>
      </c>
    </row>
    <row r="24" spans="1:7" x14ac:dyDescent="0.3">
      <c r="A24" s="1">
        <v>10</v>
      </c>
      <c r="B24">
        <f t="shared" si="0"/>
        <v>786</v>
      </c>
    </row>
    <row r="25" spans="1:7" x14ac:dyDescent="0.3">
      <c r="A25" s="1">
        <v>10</v>
      </c>
      <c r="B25">
        <f t="shared" si="0"/>
        <v>786</v>
      </c>
    </row>
    <row r="26" spans="1:7" x14ac:dyDescent="0.3">
      <c r="A26" s="1">
        <v>10</v>
      </c>
      <c r="B26">
        <f t="shared" si="0"/>
        <v>786</v>
      </c>
      <c r="E26" t="s">
        <v>14</v>
      </c>
    </row>
    <row r="27" spans="1:7" x14ac:dyDescent="0.3">
      <c r="A27" s="1">
        <v>10</v>
      </c>
      <c r="B27">
        <f t="shared" si="0"/>
        <v>786</v>
      </c>
      <c r="E27" t="s">
        <v>17</v>
      </c>
      <c r="F27" t="s">
        <v>15</v>
      </c>
      <c r="G27" t="s">
        <v>16</v>
      </c>
    </row>
    <row r="28" spans="1:7" x14ac:dyDescent="0.3">
      <c r="A28" s="1">
        <v>10</v>
      </c>
      <c r="B28">
        <f t="shared" si="0"/>
        <v>786</v>
      </c>
      <c r="E28">
        <f>MIN(B3:B202)</f>
        <v>784.6</v>
      </c>
      <c r="F28">
        <v>0</v>
      </c>
      <c r="G28">
        <f>H6</f>
        <v>200</v>
      </c>
    </row>
    <row r="29" spans="1:7" x14ac:dyDescent="0.3">
      <c r="A29" s="1">
        <v>10</v>
      </c>
      <c r="B29">
        <f t="shared" si="0"/>
        <v>786</v>
      </c>
      <c r="E29">
        <f>C3 + 2</f>
        <v>786.6</v>
      </c>
      <c r="F29">
        <f>G3</f>
        <v>54</v>
      </c>
      <c r="G29">
        <f>I3-G3</f>
        <v>146</v>
      </c>
    </row>
    <row r="30" spans="1:7" x14ac:dyDescent="0.3">
      <c r="A30" s="1">
        <v>10</v>
      </c>
      <c r="B30">
        <f t="shared" si="0"/>
        <v>786</v>
      </c>
      <c r="E30">
        <f t="shared" ref="E30:E32" si="8">C4 + 2</f>
        <v>788.6</v>
      </c>
      <c r="F30">
        <f>H3+G4</f>
        <v>133</v>
      </c>
      <c r="G30">
        <f t="shared" ref="G30:G32" si="9">I4-G4</f>
        <v>67</v>
      </c>
    </row>
    <row r="31" spans="1:7" x14ac:dyDescent="0.3">
      <c r="A31" s="1">
        <v>10</v>
      </c>
      <c r="B31">
        <f t="shared" si="0"/>
        <v>786</v>
      </c>
      <c r="E31">
        <f t="shared" si="8"/>
        <v>790.6</v>
      </c>
      <c r="F31">
        <f t="shared" ref="F31:F32" si="10">H4+G5</f>
        <v>179</v>
      </c>
      <c r="G31">
        <f t="shared" si="9"/>
        <v>21</v>
      </c>
    </row>
    <row r="32" spans="1:7" x14ac:dyDescent="0.3">
      <c r="A32" s="1">
        <v>10</v>
      </c>
      <c r="B32">
        <f t="shared" si="0"/>
        <v>786</v>
      </c>
      <c r="E32">
        <f t="shared" si="8"/>
        <v>792.6</v>
      </c>
      <c r="F32">
        <f t="shared" si="10"/>
        <v>200</v>
      </c>
      <c r="G32">
        <f t="shared" si="9"/>
        <v>0</v>
      </c>
    </row>
    <row r="33" spans="1:9" x14ac:dyDescent="0.3">
      <c r="A33" s="1">
        <v>10</v>
      </c>
      <c r="B33">
        <f t="shared" si="0"/>
        <v>786</v>
      </c>
    </row>
    <row r="34" spans="1:9" x14ac:dyDescent="0.3">
      <c r="A34" s="1">
        <v>10.199999999999999</v>
      </c>
      <c r="B34">
        <f t="shared" si="0"/>
        <v>786.2</v>
      </c>
      <c r="E34" s="7" t="s">
        <v>18</v>
      </c>
    </row>
    <row r="35" spans="1:9" x14ac:dyDescent="0.3">
      <c r="A35" s="1">
        <v>10.199999999999999</v>
      </c>
      <c r="B35">
        <f t="shared" si="0"/>
        <v>786.2</v>
      </c>
      <c r="E35" s="7" t="s">
        <v>19</v>
      </c>
    </row>
    <row r="36" spans="1:9" x14ac:dyDescent="0.3">
      <c r="A36" s="1">
        <v>10.199999999999999</v>
      </c>
      <c r="B36">
        <f t="shared" si="0"/>
        <v>786.2</v>
      </c>
    </row>
    <row r="37" spans="1:9" x14ac:dyDescent="0.3">
      <c r="A37" s="1">
        <v>10.199999999999999</v>
      </c>
      <c r="B37">
        <f t="shared" si="0"/>
        <v>786.2</v>
      </c>
    </row>
    <row r="38" spans="1:9" x14ac:dyDescent="0.3">
      <c r="A38" s="1">
        <v>10.199999999999999</v>
      </c>
      <c r="B38">
        <f t="shared" si="0"/>
        <v>786.2</v>
      </c>
    </row>
    <row r="39" spans="1:9" x14ac:dyDescent="0.3">
      <c r="A39" s="1">
        <v>10.199999999999999</v>
      </c>
      <c r="B39">
        <f t="shared" si="0"/>
        <v>786.2</v>
      </c>
    </row>
    <row r="40" spans="1:9" x14ac:dyDescent="0.3">
      <c r="A40" s="1">
        <v>10.199999999999999</v>
      </c>
      <c r="B40">
        <f t="shared" si="0"/>
        <v>786.2</v>
      </c>
    </row>
    <row r="41" spans="1:9" x14ac:dyDescent="0.3">
      <c r="A41" s="1">
        <v>10.3</v>
      </c>
      <c r="B41">
        <f t="shared" si="0"/>
        <v>786.3</v>
      </c>
    </row>
    <row r="42" spans="1:9" x14ac:dyDescent="0.3">
      <c r="A42" s="1">
        <v>10.3</v>
      </c>
      <c r="B42">
        <f t="shared" si="0"/>
        <v>786.3</v>
      </c>
    </row>
    <row r="43" spans="1:9" x14ac:dyDescent="0.3">
      <c r="A43" s="1">
        <v>10.4</v>
      </c>
      <c r="B43">
        <f t="shared" si="0"/>
        <v>786.4</v>
      </c>
    </row>
    <row r="44" spans="1:9" x14ac:dyDescent="0.3">
      <c r="A44" s="1">
        <v>10.4</v>
      </c>
      <c r="B44">
        <f t="shared" si="0"/>
        <v>786.4</v>
      </c>
      <c r="E44" t="s">
        <v>20</v>
      </c>
    </row>
    <row r="45" spans="1:9" x14ac:dyDescent="0.3">
      <c r="A45" s="1">
        <v>10.4</v>
      </c>
      <c r="B45">
        <f t="shared" si="0"/>
        <v>786.4</v>
      </c>
      <c r="E45" t="s">
        <v>21</v>
      </c>
      <c r="F45" t="s">
        <v>22</v>
      </c>
      <c r="G45" t="s">
        <v>23</v>
      </c>
      <c r="H45" t="s">
        <v>99</v>
      </c>
      <c r="I45" t="s">
        <v>24</v>
      </c>
    </row>
    <row r="46" spans="1:9" x14ac:dyDescent="0.3">
      <c r="A46" s="1">
        <v>10.4</v>
      </c>
      <c r="B46">
        <f t="shared" si="0"/>
        <v>786.4</v>
      </c>
      <c r="E46">
        <f>AVERAGE(B3:B202)</f>
        <v>788.00800000000015</v>
      </c>
      <c r="F46">
        <f>MEDIAN(B3:B202)</f>
        <v>787.7</v>
      </c>
      <c r="G46">
        <f>MODE(B3:B202)</f>
        <v>786.4</v>
      </c>
      <c r="H46">
        <f>_xlfn.STDEV.P(B3:B202)</f>
        <v>1.7747777325625904</v>
      </c>
      <c r="I46" s="2" t="str">
        <f>IF(AND(AVERAGE(B3:B202) &gt; MEDIAN(B3:B202), MEDIAN(B3:B202) &gt; MODE(B3:B202)), "Skewed to Right", IF(AND(AVERAGE(B3:B202) &lt; MEDIAN(B3:B202), MEDIAN(B3:B202) &lt; MODE(B3:B202)), "Skewed to Left", "Symmetric"))</f>
        <v>Skewed to Right</v>
      </c>
    </row>
    <row r="47" spans="1:9" x14ac:dyDescent="0.3">
      <c r="A47" s="1">
        <v>10.4</v>
      </c>
      <c r="B47">
        <f t="shared" si="0"/>
        <v>786.4</v>
      </c>
    </row>
    <row r="48" spans="1:9" x14ac:dyDescent="0.3">
      <c r="A48" s="1">
        <v>10.4</v>
      </c>
      <c r="B48">
        <f t="shared" si="0"/>
        <v>786.4</v>
      </c>
    </row>
    <row r="49" spans="1:8" x14ac:dyDescent="0.3">
      <c r="A49" s="1">
        <v>10.4</v>
      </c>
      <c r="B49">
        <f t="shared" si="0"/>
        <v>786.4</v>
      </c>
      <c r="E49" t="s">
        <v>25</v>
      </c>
    </row>
    <row r="50" spans="1:8" x14ac:dyDescent="0.3">
      <c r="A50" s="1">
        <v>10.4</v>
      </c>
      <c r="B50">
        <f t="shared" si="0"/>
        <v>786.4</v>
      </c>
      <c r="E50" t="s">
        <v>21</v>
      </c>
      <c r="F50" t="s">
        <v>22</v>
      </c>
      <c r="G50" t="s">
        <v>23</v>
      </c>
      <c r="H50" t="s">
        <v>37</v>
      </c>
    </row>
    <row r="51" spans="1:8" x14ac:dyDescent="0.3">
      <c r="A51" s="1">
        <v>10.4</v>
      </c>
      <c r="B51">
        <f t="shared" si="0"/>
        <v>786.4</v>
      </c>
      <c r="E51">
        <f>SUMPRODUCT(G3:G6, F3:F6) / SUM(G3:G6)</f>
        <v>787.94</v>
      </c>
      <c r="F51">
        <f>F58+((F56-F60)/F62)*F64</f>
        <v>787.76455696202538</v>
      </c>
      <c r="G51">
        <f>G54+((G56-G58)/((G56-G58)+(G56-G60)))*G62</f>
        <v>787.46206896551723</v>
      </c>
      <c r="H51" cm="1">
        <f t="array" ref="H51">SQRT(SUMPRODUCT(G3:G6, (F3:F6 - (SUMPRODUCT(F3:F6, G3:G6) / SUM(G3:G6)))^2) / SUM(G3:G6))</f>
        <v>1.8879618640216227</v>
      </c>
    </row>
    <row r="52" spans="1:8" x14ac:dyDescent="0.3">
      <c r="A52" s="1">
        <v>10.4</v>
      </c>
      <c r="B52">
        <f t="shared" si="0"/>
        <v>786.4</v>
      </c>
    </row>
    <row r="53" spans="1:8" x14ac:dyDescent="0.3">
      <c r="A53" s="1">
        <v>10.4</v>
      </c>
      <c r="B53">
        <f t="shared" si="0"/>
        <v>786.4</v>
      </c>
      <c r="F53" t="s">
        <v>26</v>
      </c>
      <c r="G53" t="s">
        <v>31</v>
      </c>
    </row>
    <row r="54" spans="1:8" x14ac:dyDescent="0.3">
      <c r="A54" s="1">
        <v>10.4</v>
      </c>
      <c r="B54">
        <f t="shared" si="0"/>
        <v>786.4</v>
      </c>
      <c r="F54">
        <f>SUM(G3:G6)</f>
        <v>200</v>
      </c>
      <c r="G54">
        <f>INDEX(C3:C6, MATCH(MAX(G3:G6), G3:G6, 0))</f>
        <v>786.6</v>
      </c>
    </row>
    <row r="55" spans="1:8" x14ac:dyDescent="0.3">
      <c r="A55" s="1">
        <v>10.4</v>
      </c>
      <c r="B55">
        <f t="shared" si="0"/>
        <v>786.4</v>
      </c>
      <c r="F55" t="s">
        <v>27</v>
      </c>
      <c r="G55" t="s">
        <v>32</v>
      </c>
    </row>
    <row r="56" spans="1:8" x14ac:dyDescent="0.3">
      <c r="A56" s="1">
        <v>10.4</v>
      </c>
      <c r="B56">
        <f t="shared" si="0"/>
        <v>786.4</v>
      </c>
      <c r="F56">
        <f>SUM(G3:G6)/2</f>
        <v>100</v>
      </c>
      <c r="G56">
        <f>INDEX(G3:G6, MATCH(MAX(G3:G6), G3:G6, 0))</f>
        <v>79</v>
      </c>
    </row>
    <row r="57" spans="1:8" x14ac:dyDescent="0.3">
      <c r="A57" s="1">
        <v>10.6</v>
      </c>
      <c r="B57">
        <f t="shared" si="0"/>
        <v>786.6</v>
      </c>
      <c r="F57" t="s">
        <v>30</v>
      </c>
      <c r="G57" t="s">
        <v>33</v>
      </c>
    </row>
    <row r="58" spans="1:8" x14ac:dyDescent="0.3">
      <c r="A58" s="1">
        <v>10.6</v>
      </c>
      <c r="B58">
        <f t="shared" si="0"/>
        <v>786.6</v>
      </c>
      <c r="F58" cm="1">
        <f t="array" ref="F58">INDEX(C3:C6, MATCH(TRUE, H3:H6 &gt;= H6/2, 0))</f>
        <v>786.6</v>
      </c>
      <c r="G58" cm="1">
        <f t="array" ref="G58">IFERROR(INDEX(G3:G6, MATCH(MAX(G3:G6), G3:G6, 0) - 1), 0)</f>
        <v>54</v>
      </c>
    </row>
    <row r="59" spans="1:8" x14ac:dyDescent="0.3">
      <c r="A59" s="1">
        <v>10.6</v>
      </c>
      <c r="B59">
        <f t="shared" si="0"/>
        <v>786.6</v>
      </c>
      <c r="F59" t="s">
        <v>28</v>
      </c>
      <c r="G59" t="s">
        <v>34</v>
      </c>
    </row>
    <row r="60" spans="1:8" x14ac:dyDescent="0.3">
      <c r="A60" s="1">
        <v>10.6</v>
      </c>
      <c r="B60">
        <f t="shared" si="0"/>
        <v>786.6</v>
      </c>
      <c r="F60" cm="1">
        <f t="array" ref="F60">INDEX(H3:H6, MATCH(TRUE, H3:H6 &gt;= H6/2, 0) - 1)</f>
        <v>54</v>
      </c>
      <c r="G60" cm="1">
        <f t="array" ref="G60">IFERROR(INDEX(G3:G6, MATCH(MAX(G3:G6), G3:G6, 0) + 1), 0)</f>
        <v>46</v>
      </c>
    </row>
    <row r="61" spans="1:8" x14ac:dyDescent="0.3">
      <c r="A61" s="1">
        <v>10.6</v>
      </c>
      <c r="B61">
        <f t="shared" si="0"/>
        <v>786.6</v>
      </c>
      <c r="F61" t="s">
        <v>29</v>
      </c>
      <c r="G61" t="s">
        <v>36</v>
      </c>
    </row>
    <row r="62" spans="1:8" x14ac:dyDescent="0.3">
      <c r="A62" s="1">
        <v>10.6</v>
      </c>
      <c r="B62">
        <f t="shared" si="0"/>
        <v>786.6</v>
      </c>
      <c r="F62" cm="1">
        <f t="array" ref="F62">INDEX(G3:G6, MATCH(TRUE, H3:H6 &gt;= H6/2, 0))</f>
        <v>79</v>
      </c>
      <c r="G62">
        <f>INDEX(D3:D6, MATCH(MAX(G3:G6), G3:G6, 0))-INDEX(C3:C6, MATCH(MAX(G3:G6), G3:G6, 0))</f>
        <v>2</v>
      </c>
    </row>
    <row r="63" spans="1:8" x14ac:dyDescent="0.3">
      <c r="A63" s="1">
        <v>10.6</v>
      </c>
      <c r="B63">
        <f t="shared" si="0"/>
        <v>786.6</v>
      </c>
      <c r="F63" t="s">
        <v>35</v>
      </c>
    </row>
    <row r="64" spans="1:8" x14ac:dyDescent="0.3">
      <c r="A64" s="1">
        <v>10.6</v>
      </c>
      <c r="B64">
        <f t="shared" si="0"/>
        <v>786.6</v>
      </c>
      <c r="F64" cm="1">
        <f t="array" ref="F64">INDEX(D3:D6, MATCH(TRUE, H3:H6 &gt;= H6/2, 0))-INDEX(C3:C6, MATCH(TRUE, H3:H6 &gt;= H6/2, 0))</f>
        <v>2</v>
      </c>
    </row>
    <row r="65" spans="1:10" x14ac:dyDescent="0.3">
      <c r="A65" s="1">
        <v>10.6</v>
      </c>
      <c r="B65">
        <f t="shared" si="0"/>
        <v>786.6</v>
      </c>
    </row>
    <row r="66" spans="1:10" x14ac:dyDescent="0.3">
      <c r="A66" s="1">
        <v>10.6</v>
      </c>
      <c r="B66">
        <f t="shared" si="0"/>
        <v>786.6</v>
      </c>
      <c r="E66" t="s">
        <v>38</v>
      </c>
    </row>
    <row r="67" spans="1:10" x14ac:dyDescent="0.3">
      <c r="A67" s="1">
        <v>10.6</v>
      </c>
      <c r="B67">
        <f t="shared" si="0"/>
        <v>786.6</v>
      </c>
      <c r="E67" t="s">
        <v>39</v>
      </c>
      <c r="F67" t="s">
        <v>40</v>
      </c>
      <c r="G67" t="s">
        <v>41</v>
      </c>
      <c r="H67" t="s">
        <v>42</v>
      </c>
      <c r="I67" t="s">
        <v>94</v>
      </c>
      <c r="J67" t="s">
        <v>95</v>
      </c>
    </row>
    <row r="68" spans="1:10" x14ac:dyDescent="0.3">
      <c r="A68" s="1">
        <v>10.6</v>
      </c>
      <c r="B68">
        <f t="shared" ref="B68:B131" si="11">A68+776</f>
        <v>786.6</v>
      </c>
      <c r="E68">
        <f>_xlfn.QUARTILE.EXC(B3:B202, 1)</f>
        <v>786.4</v>
      </c>
      <c r="F68">
        <f>_xlfn.QUARTILE.EXC(B3:B202, 2)</f>
        <v>787.7</v>
      </c>
      <c r="G68">
        <f>_xlfn.QUARTILE.EXC(B3:B202, 3)</f>
        <v>789.1</v>
      </c>
      <c r="H68">
        <f>_xlfn.QUARTILE.EXC(B3:B202, 3) - _xlfn.QUARTILE.EXC(B3:B202, 1)</f>
        <v>2.7000000000000455</v>
      </c>
      <c r="I68">
        <f>ABS(F68-G68)</f>
        <v>1.3999999999999773</v>
      </c>
      <c r="J68">
        <f>ABS(F68-E68)</f>
        <v>1.3000000000000682</v>
      </c>
    </row>
    <row r="69" spans="1:10" x14ac:dyDescent="0.3">
      <c r="A69" s="1">
        <v>11.2</v>
      </c>
      <c r="B69">
        <f t="shared" si="11"/>
        <v>787.2</v>
      </c>
    </row>
    <row r="70" spans="1:10" x14ac:dyDescent="0.3">
      <c r="A70" s="1">
        <v>11.2</v>
      </c>
      <c r="B70">
        <f t="shared" si="11"/>
        <v>787.2</v>
      </c>
      <c r="I70" s="3" t="s">
        <v>96</v>
      </c>
    </row>
    <row r="71" spans="1:10" x14ac:dyDescent="0.3">
      <c r="A71" s="1">
        <v>11.2</v>
      </c>
      <c r="B71">
        <f t="shared" si="11"/>
        <v>787.2</v>
      </c>
      <c r="I71" s="3" t="s">
        <v>43</v>
      </c>
    </row>
    <row r="72" spans="1:10" x14ac:dyDescent="0.3">
      <c r="A72" s="1">
        <v>11.2</v>
      </c>
      <c r="B72">
        <f t="shared" si="11"/>
        <v>787.2</v>
      </c>
      <c r="I72" s="3" t="str">
        <f>IF(ABS(MEDIAN(B3:B202) - QUARTILE(B3:B202,3)) &gt; ABS(MEDIAN(B3:B202) - QUARTILE(B3:B202,1)),
"Skewed to Right",
IF(ABS(MEDIAN(B3:B202) - QUARTILE(B3:B202,3)) &lt; ABS(MEDIAN(B3:B202) - QUARTILE(B3:B202,1)),
"Skewed to Left",
"Symmetric"))</f>
        <v>Skewed to Right</v>
      </c>
    </row>
    <row r="73" spans="1:10" x14ac:dyDescent="0.3">
      <c r="A73" s="1">
        <v>11.2</v>
      </c>
      <c r="B73">
        <f t="shared" si="11"/>
        <v>787.2</v>
      </c>
    </row>
    <row r="74" spans="1:10" x14ac:dyDescent="0.3">
      <c r="A74" s="1">
        <v>11.3</v>
      </c>
      <c r="B74">
        <f t="shared" si="11"/>
        <v>787.3</v>
      </c>
    </row>
    <row r="75" spans="1:10" x14ac:dyDescent="0.3">
      <c r="A75" s="1">
        <v>11.3</v>
      </c>
      <c r="B75">
        <f t="shared" si="11"/>
        <v>787.3</v>
      </c>
    </row>
    <row r="76" spans="1:10" x14ac:dyDescent="0.3">
      <c r="A76" s="1">
        <v>11.3</v>
      </c>
      <c r="B76">
        <f t="shared" si="11"/>
        <v>787.3</v>
      </c>
    </row>
    <row r="77" spans="1:10" x14ac:dyDescent="0.3">
      <c r="A77" s="1">
        <v>11.3</v>
      </c>
      <c r="B77">
        <f t="shared" si="11"/>
        <v>787.3</v>
      </c>
    </row>
    <row r="78" spans="1:10" x14ac:dyDescent="0.3">
      <c r="A78" s="1">
        <v>11.3</v>
      </c>
      <c r="B78">
        <f t="shared" si="11"/>
        <v>787.3</v>
      </c>
    </row>
    <row r="79" spans="1:10" x14ac:dyDescent="0.3">
      <c r="A79" s="1">
        <v>11.4</v>
      </c>
      <c r="B79">
        <f t="shared" si="11"/>
        <v>787.4</v>
      </c>
    </row>
    <row r="80" spans="1:10" x14ac:dyDescent="0.3">
      <c r="A80" s="1">
        <v>11.4</v>
      </c>
      <c r="B80">
        <f t="shared" si="11"/>
        <v>787.4</v>
      </c>
    </row>
    <row r="81" spans="1:10" x14ac:dyDescent="0.3">
      <c r="A81" s="1">
        <v>11.4</v>
      </c>
      <c r="B81">
        <f t="shared" si="11"/>
        <v>787.4</v>
      </c>
    </row>
    <row r="82" spans="1:10" x14ac:dyDescent="0.3">
      <c r="A82" s="1">
        <v>11.4</v>
      </c>
      <c r="B82">
        <f t="shared" si="11"/>
        <v>787.4</v>
      </c>
    </row>
    <row r="83" spans="1:10" x14ac:dyDescent="0.3">
      <c r="A83" s="1">
        <v>11.4</v>
      </c>
      <c r="B83">
        <f t="shared" si="11"/>
        <v>787.4</v>
      </c>
    </row>
    <row r="84" spans="1:10" x14ac:dyDescent="0.3">
      <c r="A84" s="1">
        <v>11.4</v>
      </c>
      <c r="B84">
        <f t="shared" si="11"/>
        <v>787.4</v>
      </c>
    </row>
    <row r="85" spans="1:10" x14ac:dyDescent="0.3">
      <c r="A85" s="1">
        <v>11.4</v>
      </c>
      <c r="B85">
        <f t="shared" si="11"/>
        <v>787.4</v>
      </c>
    </row>
    <row r="86" spans="1:10" x14ac:dyDescent="0.3">
      <c r="A86" s="1">
        <v>11.4</v>
      </c>
      <c r="B86">
        <f t="shared" si="11"/>
        <v>787.4</v>
      </c>
      <c r="E86" t="s">
        <v>44</v>
      </c>
    </row>
    <row r="87" spans="1:10" x14ac:dyDescent="0.3">
      <c r="A87" s="1">
        <v>11.5</v>
      </c>
      <c r="B87">
        <f t="shared" si="11"/>
        <v>787.5</v>
      </c>
      <c r="E87" t="s">
        <v>17</v>
      </c>
      <c r="F87" t="s">
        <v>15</v>
      </c>
      <c r="J87" t="s">
        <v>49</v>
      </c>
    </row>
    <row r="88" spans="1:10" x14ac:dyDescent="0.3">
      <c r="A88" s="1">
        <v>11.5</v>
      </c>
      <c r="B88">
        <f t="shared" si="11"/>
        <v>787.5</v>
      </c>
      <c r="E88">
        <f>MIN(B3:B202)</f>
        <v>784.6</v>
      </c>
      <c r="F88">
        <v>0</v>
      </c>
      <c r="J88">
        <f>((F97-E89)/(E90-E89))*F102+F101</f>
        <v>69.642753185572872</v>
      </c>
    </row>
    <row r="89" spans="1:10" x14ac:dyDescent="0.3">
      <c r="A89" s="1">
        <v>11.5</v>
      </c>
      <c r="B89">
        <f t="shared" si="11"/>
        <v>787.5</v>
      </c>
      <c r="E89">
        <f>C3 + 2</f>
        <v>786.6</v>
      </c>
      <c r="F89">
        <f>G3</f>
        <v>54</v>
      </c>
      <c r="J89" s="7" t="s">
        <v>50</v>
      </c>
    </row>
    <row r="90" spans="1:10" x14ac:dyDescent="0.3">
      <c r="A90" s="1">
        <v>11.5</v>
      </c>
      <c r="B90">
        <f t="shared" si="11"/>
        <v>787.5</v>
      </c>
      <c r="E90">
        <f t="shared" ref="E90:E92" si="12">C4 + 2</f>
        <v>788.6</v>
      </c>
      <c r="F90">
        <f>H3+G4</f>
        <v>133</v>
      </c>
      <c r="J90">
        <f>((F95-E90)/(E91-E90))*F103+F90</f>
        <v>139.53156143625017</v>
      </c>
    </row>
    <row r="91" spans="1:10" x14ac:dyDescent="0.3">
      <c r="A91" s="1">
        <v>11.5</v>
      </c>
      <c r="B91">
        <f t="shared" si="11"/>
        <v>787.5</v>
      </c>
      <c r="E91">
        <f t="shared" si="12"/>
        <v>790.6</v>
      </c>
      <c r="F91">
        <f t="shared" ref="F91:F92" si="13">H4+G5</f>
        <v>179</v>
      </c>
      <c r="J91" s="7" t="s">
        <v>91</v>
      </c>
    </row>
    <row r="92" spans="1:10" x14ac:dyDescent="0.3">
      <c r="A92" s="1">
        <v>11.6</v>
      </c>
      <c r="B92">
        <f t="shared" si="11"/>
        <v>787.6</v>
      </c>
      <c r="E92">
        <f t="shared" si="12"/>
        <v>792.6</v>
      </c>
      <c r="F92">
        <f t="shared" si="13"/>
        <v>200</v>
      </c>
      <c r="J92">
        <f>J90-J88</f>
        <v>69.8888082506773</v>
      </c>
    </row>
    <row r="93" spans="1:10" x14ac:dyDescent="0.3">
      <c r="A93" s="1">
        <v>11.6</v>
      </c>
      <c r="B93">
        <f t="shared" si="11"/>
        <v>787.6</v>
      </c>
      <c r="J93" s="7" t="s">
        <v>51</v>
      </c>
    </row>
    <row r="94" spans="1:10" x14ac:dyDescent="0.3">
      <c r="A94" s="1">
        <v>11.6</v>
      </c>
      <c r="B94">
        <f t="shared" si="11"/>
        <v>787.6</v>
      </c>
      <c r="E94" t="s">
        <v>45</v>
      </c>
      <c r="F94" t="s">
        <v>47</v>
      </c>
      <c r="J94" cm="1">
        <f t="array" ref="J94">_xlfn.NORM.DIST(SUMPRODUCT(G3:G6, F3:F6) / SUM(G3:G6)-(SQRT(SUMPRODUCT(G3:G6, (F3:F6 - (SUMPRODUCT(F3:F6, G3:G6) / SUM(G3:G6)))^2) / SUM(G3:G6))/2), SUMPRODUCT(G3:G6, F3:F6) / SUM(G3:G6), SQRT(SUMPRODUCT(G3:G6, (F3:F6 - (SUMPRODUCT(F3:F6, G3:G6) / SUM(G3:G6)))^2) / SUM(G3:G6)), TRUE)</f>
        <v>0.30853753872598055</v>
      </c>
    </row>
    <row r="95" spans="1:10" x14ac:dyDescent="0.3">
      <c r="A95" s="1">
        <v>11.6</v>
      </c>
      <c r="B95">
        <f t="shared" si="11"/>
        <v>787.6</v>
      </c>
      <c r="E95">
        <f>SUMPRODUCT(G3:G6, F3:F6) / SUM(G3:G6)</f>
        <v>787.94</v>
      </c>
      <c r="F95" cm="1">
        <f t="array" ref="F95">SUMPRODUCT(G3:G6, F3:F6) / SUM(G3:G6)+(SQRT(SUMPRODUCT(G3:G6, (F3:F6 - (SUMPRODUCT(F3:F6, G3:G6) / SUM(G3:G6)))^2) / SUM(G3:G6))/2)</f>
        <v>788.8839809320109</v>
      </c>
      <c r="J95" s="7" t="s">
        <v>52</v>
      </c>
    </row>
    <row r="96" spans="1:10" x14ac:dyDescent="0.3">
      <c r="A96" s="1">
        <v>11.6</v>
      </c>
      <c r="B96">
        <f t="shared" si="11"/>
        <v>787.6</v>
      </c>
      <c r="E96" s="7" t="s">
        <v>46</v>
      </c>
      <c r="F96" s="7" t="s">
        <v>48</v>
      </c>
      <c r="J96" cm="1">
        <f t="array" ref="J96">_xlfn.NORM.DIST(SUMPRODUCT(G3:G6, F3:F6) / SUM(G3:G6)+(SQRT(SUMPRODUCT(G3:G6, (F3:F6 - (SUMPRODUCT(F3:F6, G3:G6) / SUM(G3:G6)))^2) / SUM(G3:G6))/2), SUMPRODUCT(G3:G6, F3:F6) / SUM(G3:G6), SQRT(SUMPRODUCT(G3:G6, (F3:F6 - (SUMPRODUCT(F3:F6, G3:G6) / SUM(G3:G6)))^2) / SUM(G3:G6)), TRUE)</f>
        <v>0.69146246127401945</v>
      </c>
    </row>
    <row r="97" spans="1:10" x14ac:dyDescent="0.3">
      <c r="A97" s="1">
        <v>11.6</v>
      </c>
      <c r="B97">
        <f t="shared" si="11"/>
        <v>787.6</v>
      </c>
      <c r="E97" cm="1">
        <f t="array" ref="E97">SQRT(SUMPRODUCT(G3:G6, (F3:F6 - (SUMPRODUCT(F3:F6, G3:G6) / SUM(G3:G6)))^2) / SUM(G3:G6))</f>
        <v>1.8879618640216227</v>
      </c>
      <c r="F97" cm="1">
        <f t="array" ref="F97">SUMPRODUCT(G3:G6, F3:F6) / SUM(G3:G6)-(SQRT(SUMPRODUCT(G3:G6, (F3:F6 - (SUMPRODUCT(F3:F6, G3:G6) / SUM(G3:G6)))^2) / SUM(G3:G6))/2)</f>
        <v>786.99601906798921</v>
      </c>
      <c r="J97" s="7" t="s">
        <v>53</v>
      </c>
    </row>
    <row r="98" spans="1:10" x14ac:dyDescent="0.3">
      <c r="A98" s="1">
        <v>11.6</v>
      </c>
      <c r="B98">
        <f t="shared" si="11"/>
        <v>787.6</v>
      </c>
      <c r="J98">
        <f>J96-J94</f>
        <v>0.38292492254803889</v>
      </c>
    </row>
    <row r="99" spans="1:10" x14ac:dyDescent="0.3">
      <c r="A99" s="1">
        <v>11.700000000000001</v>
      </c>
      <c r="B99">
        <f t="shared" si="11"/>
        <v>787.7</v>
      </c>
      <c r="J99" s="7" t="s">
        <v>54</v>
      </c>
    </row>
    <row r="100" spans="1:10" x14ac:dyDescent="0.3">
      <c r="A100" s="1">
        <v>11.700000000000001</v>
      </c>
      <c r="B100">
        <f t="shared" si="11"/>
        <v>787.7</v>
      </c>
      <c r="E100" t="s">
        <v>2</v>
      </c>
      <c r="F100" t="s">
        <v>13</v>
      </c>
      <c r="J100">
        <f>J98*F92</f>
        <v>76.584984509607779</v>
      </c>
    </row>
    <row r="101" spans="1:10" x14ac:dyDescent="0.3">
      <c r="A101" s="1">
        <v>11.700000000000001</v>
      </c>
      <c r="B101">
        <f t="shared" si="11"/>
        <v>787.7</v>
      </c>
      <c r="E101" t="str">
        <f>C3 &amp; "-" &amp; D3</f>
        <v>784,6-786,6</v>
      </c>
      <c r="F101">
        <f>COUNTIFS(B3:B202, "&gt;="&amp;C3, B3:B202, "&lt;"&amp;D3)</f>
        <v>54</v>
      </c>
      <c r="J101" s="7" t="s">
        <v>55</v>
      </c>
    </row>
    <row r="102" spans="1:10" x14ac:dyDescent="0.3">
      <c r="A102" s="1">
        <v>11.700000000000001</v>
      </c>
      <c r="B102">
        <f t="shared" si="11"/>
        <v>787.7</v>
      </c>
      <c r="E102" t="str">
        <f t="shared" ref="E102:E104" si="14">C4 &amp; "-" &amp; D4</f>
        <v>786,6-788,6</v>
      </c>
      <c r="F102">
        <f t="shared" ref="F102:F104" si="15">COUNTIFS(B4:B203, "&gt;="&amp;C4, B4:B203, "&lt;"&amp;D4)</f>
        <v>79</v>
      </c>
      <c r="J102">
        <f>J100-J92</f>
        <v>6.6961762589304783</v>
      </c>
    </row>
    <row r="103" spans="1:10" ht="15.6" x14ac:dyDescent="0.3">
      <c r="A103" s="1">
        <v>11.700000000000001</v>
      </c>
      <c r="B103">
        <f t="shared" si="11"/>
        <v>787.7</v>
      </c>
      <c r="E103" t="str">
        <f t="shared" si="14"/>
        <v>788,6-790,6</v>
      </c>
      <c r="F103">
        <f t="shared" si="15"/>
        <v>46</v>
      </c>
      <c r="J103" s="7" t="s">
        <v>97</v>
      </c>
    </row>
    <row r="104" spans="1:10" x14ac:dyDescent="0.3">
      <c r="A104" s="1">
        <v>11.8</v>
      </c>
      <c r="B104">
        <f t="shared" si="11"/>
        <v>787.8</v>
      </c>
      <c r="E104" t="str">
        <f t="shared" si="14"/>
        <v>790,6-792,6</v>
      </c>
      <c r="F104">
        <f t="shared" si="15"/>
        <v>21</v>
      </c>
    </row>
    <row r="105" spans="1:10" x14ac:dyDescent="0.3">
      <c r="A105" s="1">
        <v>11.8</v>
      </c>
      <c r="B105">
        <f t="shared" si="11"/>
        <v>787.8</v>
      </c>
    </row>
    <row r="106" spans="1:10" x14ac:dyDescent="0.3">
      <c r="A106" s="1">
        <v>11.8</v>
      </c>
      <c r="B106">
        <f t="shared" si="11"/>
        <v>787.8</v>
      </c>
    </row>
    <row r="107" spans="1:10" x14ac:dyDescent="0.3">
      <c r="A107" s="1">
        <v>11.9</v>
      </c>
      <c r="B107">
        <f t="shared" si="11"/>
        <v>787.9</v>
      </c>
    </row>
    <row r="108" spans="1:10" x14ac:dyDescent="0.3">
      <c r="A108" s="1">
        <v>11.9</v>
      </c>
      <c r="B108">
        <f t="shared" si="11"/>
        <v>787.9</v>
      </c>
      <c r="E108" t="s">
        <v>56</v>
      </c>
    </row>
    <row r="109" spans="1:10" x14ac:dyDescent="0.3">
      <c r="A109" s="1">
        <v>11.9</v>
      </c>
      <c r="B109">
        <f t="shared" si="11"/>
        <v>787.9</v>
      </c>
      <c r="E109" s="8" t="s">
        <v>57</v>
      </c>
    </row>
    <row r="110" spans="1:10" x14ac:dyDescent="0.3">
      <c r="A110" s="1">
        <v>12</v>
      </c>
      <c r="B110">
        <f t="shared" si="11"/>
        <v>788</v>
      </c>
      <c r="E110" t="s">
        <v>45</v>
      </c>
      <c r="F110" t="s">
        <v>58</v>
      </c>
      <c r="G110" t="s">
        <v>59</v>
      </c>
      <c r="H110" t="s">
        <v>61</v>
      </c>
      <c r="I110" s="6" t="s">
        <v>74</v>
      </c>
    </row>
    <row r="111" spans="1:10" x14ac:dyDescent="0.3">
      <c r="A111" s="1">
        <v>12</v>
      </c>
      <c r="B111">
        <f t="shared" si="11"/>
        <v>788</v>
      </c>
      <c r="E111">
        <f>AVERAGE(B3:B202)</f>
        <v>788.00800000000015</v>
      </c>
      <c r="F111">
        <f>_xlfn.STDEV.S(B3:B202)</f>
        <v>1.7792313850671728</v>
      </c>
      <c r="G111">
        <f>_xlfn.VAR.S(B3:B202)</f>
        <v>3.16566432160805</v>
      </c>
      <c r="H111">
        <f>COUNT(B3:B202)</f>
        <v>200</v>
      </c>
      <c r="I111">
        <f>H111-1</f>
        <v>199</v>
      </c>
    </row>
    <row r="112" spans="1:10" x14ac:dyDescent="0.3">
      <c r="A112" s="1">
        <v>12</v>
      </c>
      <c r="B112">
        <f t="shared" si="11"/>
        <v>788</v>
      </c>
    </row>
    <row r="113" spans="1:10" x14ac:dyDescent="0.3">
      <c r="A113" s="1">
        <v>12</v>
      </c>
      <c r="B113">
        <f t="shared" si="11"/>
        <v>788</v>
      </c>
    </row>
    <row r="114" spans="1:10" x14ac:dyDescent="0.3">
      <c r="A114" s="1">
        <v>12</v>
      </c>
      <c r="B114">
        <f t="shared" si="11"/>
        <v>788</v>
      </c>
      <c r="E114" t="s">
        <v>60</v>
      </c>
    </row>
    <row r="115" spans="1:10" x14ac:dyDescent="0.3">
      <c r="A115" s="1">
        <v>12</v>
      </c>
      <c r="B115">
        <f t="shared" si="11"/>
        <v>788</v>
      </c>
      <c r="H115" t="s">
        <v>63</v>
      </c>
      <c r="I115" t="s">
        <v>66</v>
      </c>
    </row>
    <row r="116" spans="1:10" x14ac:dyDescent="0.3">
      <c r="A116" s="1">
        <v>12.100000000000001</v>
      </c>
      <c r="B116">
        <f t="shared" si="11"/>
        <v>788.1</v>
      </c>
      <c r="H116" t="s">
        <v>62</v>
      </c>
      <c r="I116">
        <f>E111-H118*F111/H122</f>
        <v>787.78774503383045</v>
      </c>
    </row>
    <row r="117" spans="1:10" x14ac:dyDescent="0.3">
      <c r="A117" s="1">
        <v>12.100000000000001</v>
      </c>
      <c r="B117">
        <f t="shared" si="11"/>
        <v>788.1</v>
      </c>
      <c r="H117" t="s">
        <v>92</v>
      </c>
      <c r="I117" s="7" t="s">
        <v>68</v>
      </c>
    </row>
    <row r="118" spans="1:10" x14ac:dyDescent="0.3">
      <c r="A118" s="1">
        <v>12.2</v>
      </c>
      <c r="B118">
        <f t="shared" si="11"/>
        <v>788.2</v>
      </c>
      <c r="H118" s="3">
        <f>_xlfn.NORM.S.INV(1 - 0.04)</f>
        <v>1.7506860712521695</v>
      </c>
      <c r="I118">
        <f>E111+H118*F111/H122</f>
        <v>788.22825496616986</v>
      </c>
    </row>
    <row r="119" spans="1:10" x14ac:dyDescent="0.3">
      <c r="A119" s="1">
        <v>12.2</v>
      </c>
      <c r="B119">
        <f t="shared" si="11"/>
        <v>788.2</v>
      </c>
      <c r="H119" s="3" t="s">
        <v>64</v>
      </c>
      <c r="I119" s="7" t="s">
        <v>69</v>
      </c>
    </row>
    <row r="120" spans="1:10" x14ac:dyDescent="0.3">
      <c r="A120" s="1">
        <v>12.2</v>
      </c>
      <c r="B120">
        <f t="shared" si="11"/>
        <v>788.2</v>
      </c>
      <c r="H120" s="3" t="s">
        <v>65</v>
      </c>
      <c r="I120" s="4" t="s">
        <v>70</v>
      </c>
    </row>
    <row r="121" spans="1:10" x14ac:dyDescent="0.3">
      <c r="A121" s="1">
        <v>12.2</v>
      </c>
      <c r="B121">
        <f t="shared" si="11"/>
        <v>788.2</v>
      </c>
      <c r="H121" s="5" t="s">
        <v>67</v>
      </c>
    </row>
    <row r="122" spans="1:10" x14ac:dyDescent="0.3">
      <c r="A122" s="1">
        <v>12.2</v>
      </c>
      <c r="B122">
        <f t="shared" si="11"/>
        <v>788.2</v>
      </c>
      <c r="H122" s="3">
        <f>SQRT(COUNT(B3:B202))</f>
        <v>14.142135623730951</v>
      </c>
    </row>
    <row r="123" spans="1:10" x14ac:dyDescent="0.3">
      <c r="A123" s="1">
        <v>12.2</v>
      </c>
      <c r="B123">
        <f t="shared" si="11"/>
        <v>788.2</v>
      </c>
    </row>
    <row r="124" spans="1:10" x14ac:dyDescent="0.3">
      <c r="A124" s="1">
        <v>12.3</v>
      </c>
      <c r="B124">
        <f t="shared" si="11"/>
        <v>788.3</v>
      </c>
      <c r="E124" t="s">
        <v>71</v>
      </c>
    </row>
    <row r="125" spans="1:10" x14ac:dyDescent="0.3">
      <c r="A125" s="1">
        <v>12.3</v>
      </c>
      <c r="B125">
        <f t="shared" si="11"/>
        <v>788.3</v>
      </c>
      <c r="H125" t="s">
        <v>63</v>
      </c>
      <c r="I125">
        <f>_xlfn.CHISQ.INV(1 - 0.04, COUNT(B3:B202)-1)</f>
        <v>235.26351151830457</v>
      </c>
      <c r="J125" s="9" t="s">
        <v>66</v>
      </c>
    </row>
    <row r="126" spans="1:10" x14ac:dyDescent="0.3">
      <c r="A126" s="1">
        <v>12.3</v>
      </c>
      <c r="B126">
        <f t="shared" si="11"/>
        <v>788.3</v>
      </c>
      <c r="H126" t="s">
        <v>62</v>
      </c>
      <c r="J126">
        <f>I111*G111/I125</f>
        <v>2.6777089057900407</v>
      </c>
    </row>
    <row r="127" spans="1:10" x14ac:dyDescent="0.3">
      <c r="A127" s="1">
        <v>12.3</v>
      </c>
      <c r="B127">
        <f t="shared" si="11"/>
        <v>788.3</v>
      </c>
      <c r="H127" s="3" t="s">
        <v>65</v>
      </c>
      <c r="J127" s="9" t="s">
        <v>68</v>
      </c>
    </row>
    <row r="128" spans="1:10" x14ac:dyDescent="0.3">
      <c r="A128" s="1">
        <v>12.4</v>
      </c>
      <c r="B128">
        <f t="shared" si="11"/>
        <v>788.4</v>
      </c>
      <c r="H128" s="3" t="s">
        <v>73</v>
      </c>
      <c r="J128">
        <f>I111*G111/I129</f>
        <v>3.8067240119913004</v>
      </c>
    </row>
    <row r="129" spans="1:10" x14ac:dyDescent="0.3">
      <c r="A129" s="1">
        <v>12.4</v>
      </c>
      <c r="B129">
        <f t="shared" si="11"/>
        <v>788.4</v>
      </c>
      <c r="H129" s="3" t="s">
        <v>72</v>
      </c>
      <c r="I129">
        <f>_xlfn.CHISQ.INV(0.04, COUNT(B3:B202)-1)</f>
        <v>165.48801489563874</v>
      </c>
      <c r="J129" s="9" t="s">
        <v>69</v>
      </c>
    </row>
    <row r="130" spans="1:10" x14ac:dyDescent="0.3">
      <c r="A130" s="1">
        <v>12.4</v>
      </c>
      <c r="B130">
        <f t="shared" si="11"/>
        <v>788.4</v>
      </c>
      <c r="H130" s="3">
        <f>_xlfn.VAR.S(B3:B202)</f>
        <v>3.16566432160805</v>
      </c>
      <c r="J130" s="6" t="s">
        <v>75</v>
      </c>
    </row>
    <row r="131" spans="1:10" x14ac:dyDescent="0.3">
      <c r="A131" s="1">
        <v>12.4</v>
      </c>
      <c r="B131">
        <f t="shared" si="11"/>
        <v>788.4</v>
      </c>
    </row>
    <row r="132" spans="1:10" x14ac:dyDescent="0.3">
      <c r="A132" s="1">
        <v>12.5</v>
      </c>
      <c r="B132">
        <f t="shared" ref="B132:B195" si="16">A132+776</f>
        <v>788.5</v>
      </c>
    </row>
    <row r="133" spans="1:10" x14ac:dyDescent="0.3">
      <c r="A133" s="1">
        <v>12.5</v>
      </c>
      <c r="B133">
        <f t="shared" si="16"/>
        <v>788.5</v>
      </c>
      <c r="E133" t="s">
        <v>76</v>
      </c>
    </row>
    <row r="134" spans="1:10" x14ac:dyDescent="0.3">
      <c r="A134" s="1">
        <v>12.5</v>
      </c>
      <c r="B134">
        <f t="shared" si="16"/>
        <v>788.5</v>
      </c>
      <c r="E134" t="s">
        <v>77</v>
      </c>
      <c r="I134" s="12" t="s">
        <v>98</v>
      </c>
      <c r="J134" t="s">
        <v>83</v>
      </c>
    </row>
    <row r="135" spans="1:10" x14ac:dyDescent="0.3">
      <c r="A135" s="1">
        <v>12.5</v>
      </c>
      <c r="B135">
        <f t="shared" si="16"/>
        <v>788.5</v>
      </c>
      <c r="E135">
        <v>23058653</v>
      </c>
      <c r="I135" s="3">
        <f>SQRT(COUNT(B3:B202))</f>
        <v>14.142135623730951</v>
      </c>
      <c r="J135">
        <f>2*(1-_xlfn.NORM.S.DIST(I141, TRUE))</f>
        <v>1.1829128903471098E-3</v>
      </c>
    </row>
    <row r="136" spans="1:10" x14ac:dyDescent="0.3">
      <c r="A136" s="1">
        <v>12.700000000000001</v>
      </c>
      <c r="B136">
        <f t="shared" si="16"/>
        <v>788.7</v>
      </c>
      <c r="E136" s="11" t="s">
        <v>78</v>
      </c>
      <c r="I136" s="10" t="s">
        <v>80</v>
      </c>
    </row>
    <row r="137" spans="1:10" x14ac:dyDescent="0.3">
      <c r="A137" s="1">
        <v>12.8</v>
      </c>
      <c r="B137">
        <f t="shared" si="16"/>
        <v>788.8</v>
      </c>
      <c r="E137">
        <f>653+123</f>
        <v>776</v>
      </c>
      <c r="I137" s="3">
        <f>_xlfn.STDEV.S(B3:B202)</f>
        <v>1.7792313850671728</v>
      </c>
    </row>
    <row r="138" spans="1:10" x14ac:dyDescent="0.3">
      <c r="A138" s="1">
        <v>12.8</v>
      </c>
      <c r="B138">
        <f t="shared" si="16"/>
        <v>788.8</v>
      </c>
      <c r="E138" s="7" t="s">
        <v>84</v>
      </c>
      <c r="I138" s="10" t="s">
        <v>82</v>
      </c>
      <c r="J138" t="s">
        <v>85</v>
      </c>
    </row>
    <row r="139" spans="1:10" x14ac:dyDescent="0.3">
      <c r="A139" s="1">
        <v>12.8</v>
      </c>
      <c r="B139">
        <f t="shared" si="16"/>
        <v>788.8</v>
      </c>
      <c r="E139">
        <f>11.6+E137</f>
        <v>787.6</v>
      </c>
      <c r="I139" s="3">
        <f>AVERAGE(B3:B202)</f>
        <v>788.00800000000015</v>
      </c>
      <c r="J139" t="s">
        <v>93</v>
      </c>
    </row>
    <row r="140" spans="1:10" x14ac:dyDescent="0.3">
      <c r="A140" s="1">
        <v>12.8</v>
      </c>
      <c r="B140">
        <f t="shared" si="16"/>
        <v>788.8</v>
      </c>
      <c r="E140" s="7" t="s">
        <v>87</v>
      </c>
      <c r="I140" s="10" t="s">
        <v>81</v>
      </c>
    </row>
    <row r="141" spans="1:10" x14ac:dyDescent="0.3">
      <c r="A141" s="1">
        <v>12.8</v>
      </c>
      <c r="B141">
        <f t="shared" si="16"/>
        <v>788.8</v>
      </c>
      <c r="E141" t="s">
        <v>79</v>
      </c>
      <c r="I141" s="3">
        <f>(I139-E139)/(I137/I135)</f>
        <v>3.2429684991568513</v>
      </c>
    </row>
    <row r="142" spans="1:10" x14ac:dyDescent="0.3">
      <c r="A142" s="1">
        <v>12.8</v>
      </c>
      <c r="B142">
        <f t="shared" si="16"/>
        <v>788.8</v>
      </c>
      <c r="E142" s="11" t="s">
        <v>65</v>
      </c>
    </row>
    <row r="143" spans="1:10" x14ac:dyDescent="0.3">
      <c r="A143" s="1">
        <v>12.8</v>
      </c>
      <c r="B143">
        <f t="shared" si="16"/>
        <v>788.8</v>
      </c>
    </row>
    <row r="144" spans="1:10" x14ac:dyDescent="0.3">
      <c r="A144" s="1">
        <v>12.9</v>
      </c>
      <c r="B144">
        <f t="shared" si="16"/>
        <v>788.9</v>
      </c>
      <c r="E144" t="s">
        <v>86</v>
      </c>
      <c r="I144" s="5" t="s">
        <v>67</v>
      </c>
      <c r="J144" t="s">
        <v>90</v>
      </c>
    </row>
    <row r="145" spans="1:10" x14ac:dyDescent="0.3">
      <c r="A145" s="1">
        <v>12.9</v>
      </c>
      <c r="B145">
        <f t="shared" si="16"/>
        <v>788.9</v>
      </c>
      <c r="E145" t="s">
        <v>88</v>
      </c>
      <c r="I145" s="3">
        <f>SQRT(COUNT(B3:B202))</f>
        <v>14.142135623730951</v>
      </c>
      <c r="J145">
        <f>_xlfn.NORM.S.DIST(I151, TRUE)</f>
        <v>6.3492129556835988E-2</v>
      </c>
    </row>
    <row r="146" spans="1:10" x14ac:dyDescent="0.3">
      <c r="A146" s="1">
        <v>12.9</v>
      </c>
      <c r="B146">
        <f t="shared" si="16"/>
        <v>788.9</v>
      </c>
      <c r="E146">
        <f>12.2+E137</f>
        <v>788.2</v>
      </c>
      <c r="I146" s="10" t="s">
        <v>80</v>
      </c>
    </row>
    <row r="147" spans="1:10" x14ac:dyDescent="0.3">
      <c r="A147" s="1">
        <v>13</v>
      </c>
      <c r="B147">
        <f t="shared" si="16"/>
        <v>789</v>
      </c>
      <c r="E147" s="7" t="s">
        <v>89</v>
      </c>
      <c r="I147" s="3">
        <f>_xlfn.STDEV.S(B3:B202)</f>
        <v>1.7792313850671728</v>
      </c>
    </row>
    <row r="148" spans="1:10" x14ac:dyDescent="0.3">
      <c r="A148" s="1">
        <v>13</v>
      </c>
      <c r="B148">
        <f t="shared" si="16"/>
        <v>789</v>
      </c>
      <c r="I148" s="10" t="s">
        <v>82</v>
      </c>
    </row>
    <row r="149" spans="1:10" x14ac:dyDescent="0.3">
      <c r="A149" s="1">
        <v>13</v>
      </c>
      <c r="B149">
        <f t="shared" si="16"/>
        <v>789</v>
      </c>
      <c r="I149" s="3">
        <f>AVERAGE(B3:B202)</f>
        <v>788.00800000000015</v>
      </c>
    </row>
    <row r="150" spans="1:10" x14ac:dyDescent="0.3">
      <c r="A150" s="1">
        <v>13</v>
      </c>
      <c r="B150">
        <f t="shared" si="16"/>
        <v>789</v>
      </c>
      <c r="I150" s="10" t="s">
        <v>81</v>
      </c>
    </row>
    <row r="151" spans="1:10" x14ac:dyDescent="0.3">
      <c r="A151" s="1">
        <v>13</v>
      </c>
      <c r="B151">
        <f t="shared" si="16"/>
        <v>789</v>
      </c>
      <c r="I151" s="3">
        <f>(I149-E146)/(I147/I145)</f>
        <v>-1.526102823131307</v>
      </c>
    </row>
    <row r="152" spans="1:10" x14ac:dyDescent="0.3">
      <c r="A152" s="1">
        <v>13.100000000000001</v>
      </c>
      <c r="B152">
        <f t="shared" si="16"/>
        <v>789.1</v>
      </c>
    </row>
    <row r="153" spans="1:10" x14ac:dyDescent="0.3">
      <c r="A153" s="1">
        <v>13.100000000000001</v>
      </c>
      <c r="B153">
        <f t="shared" si="16"/>
        <v>789.1</v>
      </c>
    </row>
    <row r="154" spans="1:10" x14ac:dyDescent="0.3">
      <c r="A154" s="1">
        <v>13.2</v>
      </c>
      <c r="B154">
        <f t="shared" si="16"/>
        <v>789.2</v>
      </c>
    </row>
    <row r="155" spans="1:10" x14ac:dyDescent="0.3">
      <c r="A155" s="1">
        <v>13.2</v>
      </c>
      <c r="B155">
        <f t="shared" si="16"/>
        <v>789.2</v>
      </c>
    </row>
    <row r="156" spans="1:10" x14ac:dyDescent="0.3">
      <c r="A156" s="1">
        <v>13.3</v>
      </c>
      <c r="B156">
        <f t="shared" si="16"/>
        <v>789.3</v>
      </c>
    </row>
    <row r="157" spans="1:10" x14ac:dyDescent="0.3">
      <c r="A157" s="1">
        <v>13.4</v>
      </c>
      <c r="B157">
        <f t="shared" si="16"/>
        <v>789.4</v>
      </c>
    </row>
    <row r="158" spans="1:10" x14ac:dyDescent="0.3">
      <c r="A158" s="1">
        <v>13.4</v>
      </c>
      <c r="B158">
        <f t="shared" si="16"/>
        <v>789.4</v>
      </c>
    </row>
    <row r="159" spans="1:10" x14ac:dyDescent="0.3">
      <c r="A159" s="1">
        <v>13.4</v>
      </c>
      <c r="B159">
        <f t="shared" si="16"/>
        <v>789.4</v>
      </c>
    </row>
    <row r="160" spans="1:10" x14ac:dyDescent="0.3">
      <c r="A160" s="1">
        <v>13.4</v>
      </c>
      <c r="B160">
        <f t="shared" si="16"/>
        <v>789.4</v>
      </c>
    </row>
    <row r="161" spans="1:2" x14ac:dyDescent="0.3">
      <c r="A161" s="1">
        <v>13.4</v>
      </c>
      <c r="B161">
        <f t="shared" si="16"/>
        <v>789.4</v>
      </c>
    </row>
    <row r="162" spans="1:2" x14ac:dyDescent="0.3">
      <c r="A162" s="1">
        <v>13.4</v>
      </c>
      <c r="B162">
        <f t="shared" si="16"/>
        <v>789.4</v>
      </c>
    </row>
    <row r="163" spans="1:2" x14ac:dyDescent="0.3">
      <c r="A163" s="1">
        <v>13.4</v>
      </c>
      <c r="B163">
        <f t="shared" si="16"/>
        <v>789.4</v>
      </c>
    </row>
    <row r="164" spans="1:2" x14ac:dyDescent="0.3">
      <c r="A164" s="1">
        <v>13.4</v>
      </c>
      <c r="B164">
        <f t="shared" si="16"/>
        <v>789.4</v>
      </c>
    </row>
    <row r="165" spans="1:2" x14ac:dyDescent="0.3">
      <c r="A165" s="1">
        <v>13.5</v>
      </c>
      <c r="B165">
        <f t="shared" si="16"/>
        <v>789.5</v>
      </c>
    </row>
    <row r="166" spans="1:2" x14ac:dyDescent="0.3">
      <c r="A166" s="1">
        <v>13.5</v>
      </c>
      <c r="B166">
        <f t="shared" si="16"/>
        <v>789.5</v>
      </c>
    </row>
    <row r="167" spans="1:2" x14ac:dyDescent="0.3">
      <c r="A167" s="1">
        <v>13.6</v>
      </c>
      <c r="B167">
        <f t="shared" si="16"/>
        <v>789.6</v>
      </c>
    </row>
    <row r="168" spans="1:2" x14ac:dyDescent="0.3">
      <c r="A168" s="1">
        <v>13.6</v>
      </c>
      <c r="B168">
        <f t="shared" si="16"/>
        <v>789.6</v>
      </c>
    </row>
    <row r="169" spans="1:2" x14ac:dyDescent="0.3">
      <c r="A169" s="1">
        <v>13.6</v>
      </c>
      <c r="B169">
        <f t="shared" si="16"/>
        <v>789.6</v>
      </c>
    </row>
    <row r="170" spans="1:2" x14ac:dyDescent="0.3">
      <c r="A170" s="1">
        <v>13.700000000000001</v>
      </c>
      <c r="B170">
        <f t="shared" si="16"/>
        <v>789.7</v>
      </c>
    </row>
    <row r="171" spans="1:2" x14ac:dyDescent="0.3">
      <c r="A171" s="1">
        <v>13.700000000000001</v>
      </c>
      <c r="B171">
        <f t="shared" si="16"/>
        <v>789.7</v>
      </c>
    </row>
    <row r="172" spans="1:2" x14ac:dyDescent="0.3">
      <c r="A172" s="1">
        <v>13.700000000000001</v>
      </c>
      <c r="B172">
        <f t="shared" si="16"/>
        <v>789.7</v>
      </c>
    </row>
    <row r="173" spans="1:2" x14ac:dyDescent="0.3">
      <c r="A173" s="1">
        <v>13.8</v>
      </c>
      <c r="B173">
        <f t="shared" si="16"/>
        <v>789.8</v>
      </c>
    </row>
    <row r="174" spans="1:2" x14ac:dyDescent="0.3">
      <c r="A174" s="1">
        <v>13.8</v>
      </c>
      <c r="B174">
        <f t="shared" si="16"/>
        <v>789.8</v>
      </c>
    </row>
    <row r="175" spans="1:2" x14ac:dyDescent="0.3">
      <c r="A175" s="1">
        <v>13.8</v>
      </c>
      <c r="B175">
        <f t="shared" si="16"/>
        <v>789.8</v>
      </c>
    </row>
    <row r="176" spans="1:2" x14ac:dyDescent="0.3">
      <c r="A176" s="1">
        <v>13.8</v>
      </c>
      <c r="B176">
        <f t="shared" si="16"/>
        <v>789.8</v>
      </c>
    </row>
    <row r="177" spans="1:2" x14ac:dyDescent="0.3">
      <c r="A177" s="1">
        <v>13.9</v>
      </c>
      <c r="B177">
        <f t="shared" si="16"/>
        <v>789.9</v>
      </c>
    </row>
    <row r="178" spans="1:2" x14ac:dyDescent="0.3">
      <c r="A178" s="1">
        <v>14</v>
      </c>
      <c r="B178">
        <f t="shared" si="16"/>
        <v>790</v>
      </c>
    </row>
    <row r="179" spans="1:2" x14ac:dyDescent="0.3">
      <c r="A179" s="1">
        <v>14.100000000000001</v>
      </c>
      <c r="B179">
        <f t="shared" si="16"/>
        <v>790.1</v>
      </c>
    </row>
    <row r="180" spans="1:2" x14ac:dyDescent="0.3">
      <c r="A180" s="1">
        <v>14.2</v>
      </c>
      <c r="B180">
        <f t="shared" si="16"/>
        <v>790.2</v>
      </c>
    </row>
    <row r="181" spans="1:2" x14ac:dyDescent="0.3">
      <c r="A181" s="1">
        <v>14.3</v>
      </c>
      <c r="B181">
        <f t="shared" si="16"/>
        <v>790.3</v>
      </c>
    </row>
    <row r="182" spans="1:2" x14ac:dyDescent="0.3">
      <c r="A182" s="1">
        <v>14.6</v>
      </c>
      <c r="B182">
        <f t="shared" si="16"/>
        <v>790.6</v>
      </c>
    </row>
    <row r="183" spans="1:2" x14ac:dyDescent="0.3">
      <c r="A183" s="1">
        <v>14.6</v>
      </c>
      <c r="B183">
        <f t="shared" si="16"/>
        <v>790.6</v>
      </c>
    </row>
    <row r="184" spans="1:2" x14ac:dyDescent="0.3">
      <c r="A184" s="1">
        <v>14.6</v>
      </c>
      <c r="B184">
        <f t="shared" si="16"/>
        <v>790.6</v>
      </c>
    </row>
    <row r="185" spans="1:2" x14ac:dyDescent="0.3">
      <c r="A185" s="1">
        <v>14.6</v>
      </c>
      <c r="B185">
        <f t="shared" si="16"/>
        <v>790.6</v>
      </c>
    </row>
    <row r="186" spans="1:2" x14ac:dyDescent="0.3">
      <c r="A186" s="1">
        <v>14.6</v>
      </c>
      <c r="B186">
        <f t="shared" si="16"/>
        <v>790.6</v>
      </c>
    </row>
    <row r="187" spans="1:2" x14ac:dyDescent="0.3">
      <c r="A187" s="1">
        <v>14.6</v>
      </c>
      <c r="B187">
        <f t="shared" si="16"/>
        <v>790.6</v>
      </c>
    </row>
    <row r="188" spans="1:2" x14ac:dyDescent="0.3">
      <c r="A188" s="1">
        <v>14.6</v>
      </c>
      <c r="B188">
        <f t="shared" si="16"/>
        <v>790.6</v>
      </c>
    </row>
    <row r="189" spans="1:2" x14ac:dyDescent="0.3">
      <c r="A189" s="1">
        <v>14.6</v>
      </c>
      <c r="B189">
        <f t="shared" si="16"/>
        <v>790.6</v>
      </c>
    </row>
    <row r="190" spans="1:2" x14ac:dyDescent="0.3">
      <c r="A190" s="1">
        <v>14.6</v>
      </c>
      <c r="B190">
        <f t="shared" si="16"/>
        <v>790.6</v>
      </c>
    </row>
    <row r="191" spans="1:2" x14ac:dyDescent="0.3">
      <c r="A191" s="1">
        <v>14.7</v>
      </c>
      <c r="B191">
        <f t="shared" si="16"/>
        <v>790.7</v>
      </c>
    </row>
    <row r="192" spans="1:2" x14ac:dyDescent="0.3">
      <c r="A192" s="1">
        <v>16.5</v>
      </c>
      <c r="B192">
        <f t="shared" si="16"/>
        <v>792.5</v>
      </c>
    </row>
    <row r="193" spans="1:2" x14ac:dyDescent="0.3">
      <c r="A193" s="1">
        <v>16.5</v>
      </c>
      <c r="B193">
        <f t="shared" si="16"/>
        <v>792.5</v>
      </c>
    </row>
    <row r="194" spans="1:2" x14ac:dyDescent="0.3">
      <c r="A194" s="1">
        <v>16.5</v>
      </c>
      <c r="B194">
        <f t="shared" si="16"/>
        <v>792.5</v>
      </c>
    </row>
    <row r="195" spans="1:2" x14ac:dyDescent="0.3">
      <c r="A195" s="1">
        <v>16.5</v>
      </c>
      <c r="B195">
        <f t="shared" si="16"/>
        <v>792.5</v>
      </c>
    </row>
    <row r="196" spans="1:2" x14ac:dyDescent="0.3">
      <c r="A196" s="1">
        <v>16.5</v>
      </c>
      <c r="B196">
        <f t="shared" ref="B196:B202" si="17">A196+776</f>
        <v>792.5</v>
      </c>
    </row>
    <row r="197" spans="1:2" x14ac:dyDescent="0.3">
      <c r="A197" s="1">
        <v>16.5</v>
      </c>
      <c r="B197">
        <f t="shared" si="17"/>
        <v>792.5</v>
      </c>
    </row>
    <row r="198" spans="1:2" x14ac:dyDescent="0.3">
      <c r="A198" s="1">
        <v>16.5</v>
      </c>
      <c r="B198">
        <f t="shared" si="17"/>
        <v>792.5</v>
      </c>
    </row>
    <row r="199" spans="1:2" x14ac:dyDescent="0.3">
      <c r="A199" s="1">
        <v>16.5</v>
      </c>
      <c r="B199">
        <f t="shared" si="17"/>
        <v>792.5</v>
      </c>
    </row>
    <row r="200" spans="1:2" x14ac:dyDescent="0.3">
      <c r="A200" s="1">
        <v>16.5</v>
      </c>
      <c r="B200">
        <f t="shared" si="17"/>
        <v>792.5</v>
      </c>
    </row>
    <row r="201" spans="1:2" x14ac:dyDescent="0.3">
      <c r="A201" s="1">
        <v>16.5</v>
      </c>
      <c r="B201">
        <f t="shared" si="17"/>
        <v>792.5</v>
      </c>
    </row>
    <row r="202" spans="1:2" x14ac:dyDescent="0.3">
      <c r="A202" s="1">
        <v>16.5</v>
      </c>
      <c r="B202">
        <f t="shared" si="17"/>
        <v>792.5</v>
      </c>
    </row>
  </sheetData>
  <sortState xmlns:xlrd2="http://schemas.microsoft.com/office/spreadsheetml/2017/richdata2" ref="A3:A202">
    <sortCondition ref="A3:A202"/>
  </sortState>
  <pageMargins left="0.7" right="0.7" top="0.75" bottom="0.75" header="0.3" footer="0.3"/>
  <drawing r:id="rId1"/>
  <tableParts count="2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2024-12-15T08:06:11Z</dcterms:modified>
</cp:coreProperties>
</file>